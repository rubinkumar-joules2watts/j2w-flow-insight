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C562438-F1BF-4B5C-A84A-5DCE600B7D9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entra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47" i="4" l="1"/>
  <c r="V4" i="4"/>
  <c r="V5" i="4"/>
  <c r="N81" i="4"/>
  <c r="L81" i="4"/>
  <c r="H81" i="4"/>
  <c r="F81" i="4"/>
  <c r="C81" i="4"/>
  <c r="B81" i="4"/>
  <c r="A81" i="4"/>
</calcChain>
</file>

<file path=xl/sharedStrings.xml><?xml version="1.0" encoding="utf-8"?>
<sst xmlns="http://schemas.openxmlformats.org/spreadsheetml/2006/main" count="454" uniqueCount="152">
  <si>
    <t xml:space="preserve"> DELIVERY TRACKER (March , Week 4)</t>
  </si>
  <si>
    <t>PROJECT IDENTIFICATION</t>
  </si>
  <si>
    <t>MILESTONE TRACKING</t>
  </si>
  <si>
    <t>RISK &amp; MOMENTUM</t>
  </si>
  <si>
    <t>#</t>
  </si>
  <si>
    <t>Client</t>
  </si>
  <si>
    <t>Project Name / Code</t>
  </si>
  <si>
    <t>Service Type</t>
  </si>
  <si>
    <t>Revenue Model</t>
  </si>
  <si>
    <t>Delivery Manager</t>
  </si>
  <si>
    <t>Client SPOC</t>
  </si>
  <si>
    <t>Project Type</t>
  </si>
  <si>
    <t>Resource Aligned</t>
  </si>
  <si>
    <t>Handled By</t>
  </si>
  <si>
    <t>Add Info</t>
  </si>
  <si>
    <t>Milestone</t>
  </si>
  <si>
    <t>Revenue</t>
  </si>
  <si>
    <t>Milestone
Description</t>
  </si>
  <si>
    <t>Planned
Start</t>
  </si>
  <si>
    <t>Planned
End</t>
  </si>
  <si>
    <t>Actual
Start</t>
  </si>
  <si>
    <t>Actual
End / ETA</t>
  </si>
  <si>
    <t>% Complete</t>
  </si>
  <si>
    <t>Deliverable(s)</t>
  </si>
  <si>
    <t>Milestone
Flag</t>
  </si>
  <si>
    <t>Days
Variance</t>
  </si>
  <si>
    <t>Current Status</t>
  </si>
  <si>
    <t>Blocker
(Y/N)</t>
  </si>
  <si>
    <t>Blocker
Owner</t>
  </si>
  <si>
    <t>Remarks / Action</t>
  </si>
  <si>
    <t>Inv status</t>
  </si>
  <si>
    <t>Novartis</t>
  </si>
  <si>
    <t>ITSE Dashboard</t>
  </si>
  <si>
    <t>Outcome</t>
  </si>
  <si>
    <t>Anuradha Murthy</t>
  </si>
  <si>
    <t>Rashim Chaudhary</t>
  </si>
  <si>
    <t>Data Analysis &amp; Dashboarding</t>
  </si>
  <si>
    <t>Mriganka</t>
  </si>
  <si>
    <t>Wipro</t>
  </si>
  <si>
    <t>NA</t>
  </si>
  <si>
    <t>M1</t>
  </si>
  <si>
    <t xml:space="preserve">Verification and SOW </t>
  </si>
  <si>
    <t>Doc</t>
  </si>
  <si>
    <t>Green</t>
  </si>
  <si>
    <t>Completed</t>
  </si>
  <si>
    <t>N</t>
  </si>
  <si>
    <t>—</t>
  </si>
  <si>
    <t>Completed on time</t>
  </si>
  <si>
    <t>Raised</t>
  </si>
  <si>
    <t>M2</t>
  </si>
  <si>
    <t>KPI and Mock Dashboard</t>
  </si>
  <si>
    <t>Dashboard</t>
  </si>
  <si>
    <t xml:space="preserve">Client delayed SOW signing </t>
  </si>
  <si>
    <t>M3</t>
  </si>
  <si>
    <t xml:space="preserve">Integration of Data + Testing </t>
  </si>
  <si>
    <t>Amber</t>
  </si>
  <si>
    <t>Delayed</t>
  </si>
  <si>
    <t>Y</t>
  </si>
  <si>
    <t>Customer responded saying they’ve moved from Snowflake to Databricks for the integration. Romit(Wipro spokesperson (lead for ITSE)) is currently coordinating with the Novartis team to enable the required access . 
Next update by 27/03 (pending)</t>
  </si>
  <si>
    <t xml:space="preserve">Pending </t>
  </si>
  <si>
    <t xml:space="preserve">GE </t>
  </si>
  <si>
    <t xml:space="preserve">Gate Test Maintainance </t>
  </si>
  <si>
    <t>Sadhna Shukla</t>
  </si>
  <si>
    <t>Abhishaik Srivastava</t>
  </si>
  <si>
    <t>Automation</t>
  </si>
  <si>
    <t>Dhinakar</t>
  </si>
  <si>
    <t>Consultant</t>
  </si>
  <si>
    <t>IGS</t>
  </si>
  <si>
    <t>Quick Test Analysis</t>
  </si>
  <si>
    <t>Run Quick tests in container &amp; VM, compare results, analyze &amp; categorize failures</t>
  </si>
  <si>
    <t>M1 delivered</t>
  </si>
  <si>
    <t>Quick Test Fixes + Slow/Very Slow Analysis</t>
  </si>
  <si>
    <t>Fix Quick test failures, validate; then run Slow &amp; Very Slow tests, analyze failures, fix and re-validate</t>
  </si>
  <si>
    <t>Practise</t>
  </si>
  <si>
    <t>20/20 Quick + 7/7 Slow tests fixed. 87 Very Slow test scenarios pending (Config UI for distributable config settings). Running in parallel with M3.</t>
  </si>
  <si>
    <t>Dockerized Parallel Execution</t>
  </si>
  <si>
    <t>Enable full parallel execution across all test tracks (Main, Quick, Slow, Very Slow) targeting multiple SUTs simultaneously; fix and validate</t>
  </si>
  <si>
    <t>On Hold</t>
  </si>
  <si>
    <t>3-container run stable: 39/39 features, 3.47hrs (20% saving). 4-container achieves 2.44hrs (44% saving) but 6 features fail due to service dependencies. Awaiting Aravinda approval to go live with 3-container. Service team alignment ongoing for 4-container.</t>
  </si>
  <si>
    <t>M4</t>
  </si>
  <si>
    <t>Code Cleanup &amp; MR Approval</t>
  </si>
  <si>
    <t>Final code cleanup, execution validation, merge request approval with up to 3 review iterations</t>
  </si>
  <si>
    <t>Red</t>
  </si>
  <si>
    <t>Dependent on M3 go-live approval and stabilization. Not yet started.</t>
  </si>
  <si>
    <t>AVS Scrum</t>
  </si>
  <si>
    <t>Governance</t>
  </si>
  <si>
    <t>Monthly</t>
  </si>
  <si>
    <t>Mitul Agrawal</t>
  </si>
  <si>
    <t>Others</t>
  </si>
  <si>
    <t>Internal Team</t>
  </si>
  <si>
    <t xml:space="preserve">M1 </t>
  </si>
  <si>
    <t>As per client requirement</t>
  </si>
  <si>
    <t>M5</t>
  </si>
  <si>
    <t>M6</t>
  </si>
  <si>
    <t xml:space="preserve"> </t>
  </si>
  <si>
    <t>M7</t>
  </si>
  <si>
    <t>M8</t>
  </si>
  <si>
    <t>M9</t>
  </si>
  <si>
    <t>M10</t>
  </si>
  <si>
    <t>M11</t>
  </si>
  <si>
    <t>M12</t>
  </si>
  <si>
    <t>Devops PitCrew
CD Automation</t>
  </si>
  <si>
    <t>Devops PitCrew</t>
  </si>
  <si>
    <t>LTS</t>
  </si>
  <si>
    <t>Data Engineering &amp; Automation</t>
  </si>
  <si>
    <t>Dhinakar, Sharat, Kartika, Balaji</t>
  </si>
  <si>
    <t>Foundation Complete</t>
  </si>
  <si>
    <t>W0</t>
  </si>
  <si>
    <t>W3</t>
  </si>
  <si>
    <t>TBD</t>
  </si>
  <si>
    <t>Requirements documented, architecture approved</t>
  </si>
  <si>
    <t>LTS Orcxhestration Pipeline Ready</t>
  </si>
  <si>
    <t>W8</t>
  </si>
  <si>
    <t xml:space="preserve">SBOM promotion (Phase 1) completes successfully before per-component LTS verification builds (Phase 2) are triggered </t>
  </si>
  <si>
    <t>Remediation System</t>
  </si>
  <si>
    <t>W10</t>
  </si>
  <si>
    <t xml:space="preserve">Log parsing and artifact promotion scripts operational </t>
  </si>
  <si>
    <t>Pilot Success</t>
  </si>
  <si>
    <t>27 components automated and verified successfully</t>
  </si>
  <si>
    <t xml:space="preserve">Production Ready </t>
  </si>
  <si>
    <t>W11</t>
  </si>
  <si>
    <t xml:space="preserve">All testing complete, monitoring live </t>
  </si>
  <si>
    <t>Full Deployment Deployment</t>
  </si>
  <si>
    <t>W12</t>
  </si>
  <si>
    <t>All components live, metrics validated</t>
  </si>
  <si>
    <t>Lowes</t>
  </si>
  <si>
    <t>SEO Roadmap Deep Dive</t>
  </si>
  <si>
    <t>Mehr</t>
  </si>
  <si>
    <t>Charushila Biswas</t>
  </si>
  <si>
    <t>Not Assigned</t>
  </si>
  <si>
    <t xml:space="preserve">DSGS </t>
  </si>
  <si>
    <t>Pricing Engine Commercial Twin</t>
  </si>
  <si>
    <t>AI Solution</t>
  </si>
  <si>
    <t>Signed-off platform spec, data readiness
report, confirmed acceptance criteria, finalized
tech stack</t>
  </si>
  <si>
    <t>Working estimation UI with activity-level output; risk buffer calculation calibration; all 6 dimensions configurable</t>
  </si>
  <si>
    <t>Full version control, role-based access, audit trails, security hardening, and data migration complete</t>
  </si>
  <si>
    <t>Complete, closed-loop platform live in
production; DSGS team trained; full
documentation delivered</t>
  </si>
  <si>
    <t>Pricing Engine Transition Factory</t>
  </si>
  <si>
    <t>Signed-off platform spec, data
readiness report, confirmed
acceptance criteria, finalized tech
stack</t>
  </si>
  <si>
    <t>Working Transition Factory
estimation UI with activity-level
output; new model calibrated to
transition domain; all 6 risk
dimensions configurable</t>
  </si>
  <si>
    <t>Unified platform with both
Commercial Twin and Transition
Factory modules live; full version
control, role-based access, audit
trails, security hardening
complete</t>
  </si>
  <si>
    <t>Complete, closed-loop platform
live in production; two UAT cycles
completed; DSGS team trained;
full documentation delivered</t>
  </si>
  <si>
    <t>Deployment of the Infrastructure</t>
  </si>
  <si>
    <t>Proposal under work</t>
  </si>
  <si>
    <t>📊  MS DELIVERY DASHBOARD</t>
  </si>
  <si>
    <t>Total MS Projects</t>
  </si>
  <si>
    <t>Total Milestones Tracked</t>
  </si>
  <si>
    <t>Milestones Complete (100%)</t>
  </si>
  <si>
    <t>Flagged Red</t>
  </si>
  <si>
    <t>Flagged Amber</t>
  </si>
  <si>
    <t>Avg % Completion</t>
  </si>
  <si>
    <t>Total Contract Value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</si>
</sst>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8E44AD"/>
      <name val="Arial"/>
      <family val="2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scheme val="minor"/>
    </font>
    <font>
      <sz val="10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color theme="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8FC"/>
        <bgColor rgb="FFFFFFFF"/>
      </patternFill>
    </fill>
    <fill>
      <patternFill patternType="solid">
        <fgColor rgb="FFFFFFFF"/>
        <bgColor rgb="FFF5F8FC"/>
      </patternFill>
    </fill>
    <fill>
      <patternFill patternType="solid">
        <fgColor rgb="FFD6E4F7"/>
        <bgColor rgb="FFD1F2EB"/>
      </patternFill>
    </fill>
    <fill>
      <patternFill patternType="solid">
        <fgColor rgb="FFEAD7F7"/>
        <bgColor rgb="FFFADBD8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C8D6E8"/>
      </left>
      <right style="thin">
        <color rgb="FFC8D6E8"/>
      </right>
      <top style="thin">
        <color rgb="FFC8D6E8"/>
      </top>
      <bottom style="thin">
        <color rgb="FFC8D6E8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3" xfId="0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15" fontId="5" fillId="7" borderId="14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5" fontId="5" fillId="7" borderId="14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" fontId="5" fillId="7" borderId="14" xfId="0" applyNumberFormat="1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5" fontId="5" fillId="4" borderId="14" xfId="0" applyNumberFormat="1" applyFont="1" applyFill="1" applyBorder="1" applyAlignment="1">
      <alignment horizontal="center" vertical="center"/>
    </xf>
    <xf numFmtId="15" fontId="5" fillId="3" borderId="14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FFFFFF"/>
        <name val="Arial"/>
        <charset val="1"/>
      </font>
      <fill>
        <patternFill>
          <bgColor rgb="FFE74C3C"/>
        </patternFill>
      </fill>
    </dxf>
    <dxf>
      <font>
        <b/>
        <sz val="10"/>
        <color rgb="FFFFFFFF"/>
        <name val="Arial"/>
        <charset val="1"/>
      </font>
      <fill>
        <patternFill>
          <bgColor rgb="FFE67E22"/>
        </patternFill>
      </fill>
    </dxf>
    <dxf>
      <font>
        <b/>
        <sz val="10"/>
        <color rgb="FF000000"/>
        <name val="Arial"/>
        <charset val="1"/>
      </font>
      <fill>
        <patternFill>
          <bgColor rgb="FFF6C90E"/>
        </patternFill>
      </fill>
    </dxf>
    <dxf>
      <font>
        <b/>
        <sz val="10"/>
        <color rgb="FFFFFFFF"/>
        <name val="Arial"/>
        <charset val="1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EAD7F7"/>
      <rgbColor rgb="FF808080"/>
      <rgbColor rgb="FF9AAFC9"/>
      <rgbColor rgb="FF8E44AD"/>
      <rgbColor rgb="FFFDEBD0"/>
      <rgbColor rgb="FFD1F2EB"/>
      <rgbColor rgb="FF660066"/>
      <rgbColor rgb="FFE74C3C"/>
      <rgbColor rgb="FF0066CC"/>
      <rgbColor rgb="FFC8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4EDDA"/>
      <rgbColor rgb="FFF5F8FC"/>
      <rgbColor rgb="FF99CCFF"/>
      <rgbColor rgb="FFFF99CC"/>
      <rgbColor rgb="FFCC99FF"/>
      <rgbColor rgb="FFFADBD8"/>
      <rgbColor rgb="FF3366FF"/>
      <rgbColor rgb="FF33CCCC"/>
      <rgbColor rgb="FF99CC00"/>
      <rgbColor rgb="FFF6C90E"/>
      <rgbColor rgb="FFFF9900"/>
      <rgbColor rgb="FFE67E22"/>
      <rgbColor rgb="FF4A5568"/>
      <rgbColor rgb="FF969696"/>
      <rgbColor rgb="FF003366"/>
      <rgbColor rgb="FF27AE60"/>
      <rgbColor rgb="FF003300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K81"/>
  <sheetViews>
    <sheetView showGridLines="0" tabSelected="1" zoomScaleNormal="100" workbookViewId="0">
      <pane ySplit="1" topLeftCell="A47" activePane="bottomLeft" state="frozen"/>
      <selection pane="bottomLeft" activeCell="A4" sqref="A4:AA64"/>
    </sheetView>
  </sheetViews>
  <sheetFormatPr defaultColWidth="8.7109375" defaultRowHeight="15" customHeight="1"/>
  <cols>
    <col min="1" max="1" width="4" customWidth="1"/>
    <col min="2" max="2" width="14.140625" customWidth="1"/>
    <col min="3" max="3" width="22" customWidth="1"/>
    <col min="4" max="4" width="10.85546875" customWidth="1"/>
    <col min="5" max="5" width="13.42578125" bestFit="1" customWidth="1"/>
    <col min="6" max="6" width="15" bestFit="1" customWidth="1"/>
    <col min="7" max="7" width="16.5703125" bestFit="1" customWidth="1"/>
    <col min="8" max="11" width="16.85546875" customWidth="1"/>
    <col min="12" max="13" width="12" customWidth="1"/>
    <col min="14" max="14" width="39.28515625" customWidth="1"/>
    <col min="15" max="15" width="10.5703125" bestFit="1" customWidth="1"/>
    <col min="16" max="16" width="11" bestFit="1" customWidth="1"/>
    <col min="17" max="18" width="10.5703125" bestFit="1" customWidth="1"/>
    <col min="19" max="19" width="10.42578125" bestFit="1" customWidth="1"/>
    <col min="20" max="20" width="45.85546875" customWidth="1"/>
    <col min="21" max="21" width="8.85546875" bestFit="1" customWidth="1"/>
    <col min="22" max="22" width="7.85546875" bestFit="1" customWidth="1"/>
    <col min="23" max="23" width="12.28515625" bestFit="1" customWidth="1"/>
    <col min="24" max="24" width="6.85546875" bestFit="1" customWidth="1"/>
    <col min="25" max="25" width="9.85546875" bestFit="1" customWidth="1"/>
    <col min="26" max="26" width="44.5703125" customWidth="1"/>
    <col min="27" max="27" width="8.5703125" bestFit="1" customWidth="1"/>
  </cols>
  <sheetData>
    <row r="1" spans="1:193" ht="45.7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</row>
    <row r="2" spans="1:193">
      <c r="A2" s="19" t="s">
        <v>1</v>
      </c>
      <c r="B2" s="20"/>
      <c r="C2" s="20"/>
      <c r="D2" s="20"/>
      <c r="E2" s="20"/>
      <c r="F2" s="20"/>
      <c r="G2" s="20"/>
      <c r="H2" s="20"/>
      <c r="I2" s="7"/>
      <c r="J2" s="7"/>
      <c r="K2" s="7"/>
      <c r="L2" s="33" t="s">
        <v>2</v>
      </c>
      <c r="M2" s="34"/>
      <c r="N2" s="34"/>
      <c r="O2" s="34"/>
      <c r="P2" s="34"/>
      <c r="Q2" s="34"/>
      <c r="R2" s="34"/>
      <c r="S2" s="34"/>
      <c r="T2" s="35"/>
      <c r="U2" s="26" t="s">
        <v>3</v>
      </c>
      <c r="V2" s="26"/>
      <c r="W2" s="26"/>
      <c r="X2" s="26"/>
      <c r="Y2" s="26"/>
      <c r="Z2" s="26"/>
      <c r="AA2" s="27"/>
    </row>
    <row r="3" spans="1:193" ht="27">
      <c r="A3" s="5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4" t="s">
        <v>26</v>
      </c>
      <c r="X3" s="4" t="s">
        <v>27</v>
      </c>
      <c r="Y3" s="4" t="s">
        <v>28</v>
      </c>
      <c r="Z3" s="4" t="s">
        <v>29</v>
      </c>
      <c r="AA3" s="6" t="s">
        <v>30</v>
      </c>
    </row>
    <row r="4" spans="1:193" s="3" customFormat="1">
      <c r="A4" s="14">
        <v>1</v>
      </c>
      <c r="B4" s="14" t="s">
        <v>31</v>
      </c>
      <c r="C4" s="14" t="s">
        <v>32</v>
      </c>
      <c r="D4" s="14" t="s">
        <v>33</v>
      </c>
      <c r="E4" s="14" t="s">
        <v>15</v>
      </c>
      <c r="F4" s="16" t="s">
        <v>34</v>
      </c>
      <c r="G4" s="17" t="s">
        <v>35</v>
      </c>
      <c r="H4" s="18" t="s">
        <v>36</v>
      </c>
      <c r="I4" s="18" t="s">
        <v>37</v>
      </c>
      <c r="J4" s="18" t="s">
        <v>38</v>
      </c>
      <c r="K4" s="18" t="s">
        <v>39</v>
      </c>
      <c r="L4" s="8" t="s">
        <v>40</v>
      </c>
      <c r="M4" s="8"/>
      <c r="N4" s="12" t="s">
        <v>41</v>
      </c>
      <c r="O4" s="36">
        <v>46003</v>
      </c>
      <c r="P4" s="37">
        <v>46032</v>
      </c>
      <c r="Q4" s="10">
        <v>46055</v>
      </c>
      <c r="R4" s="10">
        <v>46060</v>
      </c>
      <c r="S4" s="8">
        <v>100</v>
      </c>
      <c r="T4" s="12" t="s">
        <v>42</v>
      </c>
      <c r="U4" s="38" t="s">
        <v>43</v>
      </c>
      <c r="V4" s="13">
        <f>R4-P4</f>
        <v>28</v>
      </c>
      <c r="W4" s="8" t="s">
        <v>44</v>
      </c>
      <c r="X4" s="8" t="s">
        <v>45</v>
      </c>
      <c r="Y4" s="8" t="s">
        <v>46</v>
      </c>
      <c r="Z4" s="9" t="s">
        <v>47</v>
      </c>
      <c r="AA4" s="11" t="s">
        <v>48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</row>
    <row r="5" spans="1:193">
      <c r="A5" s="14"/>
      <c r="B5" s="14"/>
      <c r="C5" s="14"/>
      <c r="D5" s="14"/>
      <c r="E5" s="14"/>
      <c r="F5" s="16"/>
      <c r="G5" s="17"/>
      <c r="H5" s="18"/>
      <c r="I5" s="18"/>
      <c r="J5" s="18"/>
      <c r="K5" s="18"/>
      <c r="L5" s="13" t="s">
        <v>49</v>
      </c>
      <c r="M5" s="13"/>
      <c r="N5" s="9" t="s">
        <v>50</v>
      </c>
      <c r="O5" s="36">
        <v>46003</v>
      </c>
      <c r="P5" s="36">
        <v>46037</v>
      </c>
      <c r="Q5" s="10">
        <v>46061</v>
      </c>
      <c r="R5" s="10">
        <v>46068</v>
      </c>
      <c r="S5" s="8">
        <v>100</v>
      </c>
      <c r="T5" s="9" t="s">
        <v>51</v>
      </c>
      <c r="U5" s="38" t="s">
        <v>43</v>
      </c>
      <c r="V5" s="13">
        <f>R5-P5</f>
        <v>31</v>
      </c>
      <c r="W5" s="13" t="s">
        <v>44</v>
      </c>
      <c r="X5" s="13" t="s">
        <v>45</v>
      </c>
      <c r="Y5" s="13" t="s">
        <v>5</v>
      </c>
      <c r="Z5" s="12" t="s">
        <v>52</v>
      </c>
      <c r="AA5" s="11" t="s">
        <v>48</v>
      </c>
    </row>
    <row r="6" spans="1:193" ht="96" customHeight="1">
      <c r="A6" s="14"/>
      <c r="B6" s="14"/>
      <c r="C6" s="14"/>
      <c r="D6" s="14"/>
      <c r="E6" s="14"/>
      <c r="F6" s="16"/>
      <c r="G6" s="17"/>
      <c r="H6" s="18"/>
      <c r="I6" s="18"/>
      <c r="J6" s="18"/>
      <c r="K6" s="18"/>
      <c r="L6" s="8" t="s">
        <v>53</v>
      </c>
      <c r="M6" s="8"/>
      <c r="N6" s="9" t="s">
        <v>54</v>
      </c>
      <c r="O6" s="36">
        <v>45695</v>
      </c>
      <c r="P6" s="8" t="s">
        <v>39</v>
      </c>
      <c r="Q6" s="8" t="s">
        <v>39</v>
      </c>
      <c r="R6" s="8" t="s">
        <v>39</v>
      </c>
      <c r="S6" s="8">
        <v>0</v>
      </c>
      <c r="T6" s="9" t="s">
        <v>39</v>
      </c>
      <c r="U6" s="38" t="s">
        <v>55</v>
      </c>
      <c r="V6" s="8">
        <v>0</v>
      </c>
      <c r="W6" s="8" t="s">
        <v>56</v>
      </c>
      <c r="X6" s="8" t="s">
        <v>57</v>
      </c>
      <c r="Y6" s="8" t="s">
        <v>5</v>
      </c>
      <c r="Z6" s="9" t="s">
        <v>58</v>
      </c>
      <c r="AA6" s="11" t="s">
        <v>59</v>
      </c>
    </row>
    <row r="7" spans="1:193" s="3" customFormat="1" ht="27">
      <c r="A7" s="15">
        <v>2</v>
      </c>
      <c r="B7" s="15" t="s">
        <v>60</v>
      </c>
      <c r="C7" s="15" t="s">
        <v>61</v>
      </c>
      <c r="D7" s="39" t="s">
        <v>33</v>
      </c>
      <c r="E7" s="39" t="s">
        <v>15</v>
      </c>
      <c r="F7" s="40" t="s">
        <v>62</v>
      </c>
      <c r="G7" s="41" t="s">
        <v>63</v>
      </c>
      <c r="H7" s="22" t="s">
        <v>64</v>
      </c>
      <c r="I7" s="22" t="s">
        <v>65</v>
      </c>
      <c r="J7" s="22" t="s">
        <v>66</v>
      </c>
      <c r="K7" s="22" t="s">
        <v>67</v>
      </c>
      <c r="L7" s="13" t="s">
        <v>40</v>
      </c>
      <c r="M7" s="13"/>
      <c r="N7" s="12" t="s">
        <v>68</v>
      </c>
      <c r="O7" s="42" t="s">
        <v>39</v>
      </c>
      <c r="P7" s="10">
        <v>45930</v>
      </c>
      <c r="Q7" s="10">
        <v>45901</v>
      </c>
      <c r="R7" s="10">
        <v>45930</v>
      </c>
      <c r="S7" s="13">
        <v>100</v>
      </c>
      <c r="T7" s="12" t="s">
        <v>69</v>
      </c>
      <c r="U7" s="43" t="s">
        <v>43</v>
      </c>
      <c r="V7" s="13">
        <v>0</v>
      </c>
      <c r="W7" s="13" t="s">
        <v>44</v>
      </c>
      <c r="X7" s="13" t="s">
        <v>45</v>
      </c>
      <c r="Y7" s="13" t="s">
        <v>46</v>
      </c>
      <c r="Z7" s="12" t="s">
        <v>70</v>
      </c>
      <c r="AA7" s="11" t="s">
        <v>48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</row>
    <row r="8" spans="1:193" ht="40.5">
      <c r="A8" s="15"/>
      <c r="B8" s="15"/>
      <c r="C8" s="15"/>
      <c r="D8" s="39"/>
      <c r="E8" s="39"/>
      <c r="F8" s="40"/>
      <c r="G8" s="41"/>
      <c r="H8" s="22"/>
      <c r="I8" s="22"/>
      <c r="J8" s="22"/>
      <c r="K8" s="22"/>
      <c r="L8" s="8" t="s">
        <v>49</v>
      </c>
      <c r="M8" s="8"/>
      <c r="N8" s="9" t="s">
        <v>71</v>
      </c>
      <c r="O8" s="10">
        <v>45930</v>
      </c>
      <c r="P8" s="42">
        <v>45961</v>
      </c>
      <c r="Q8" s="42">
        <v>45992</v>
      </c>
      <c r="R8" s="42" t="s">
        <v>39</v>
      </c>
      <c r="S8" s="8">
        <v>40</v>
      </c>
      <c r="T8" s="9" t="s">
        <v>72</v>
      </c>
      <c r="U8" s="38" t="s">
        <v>55</v>
      </c>
      <c r="V8" s="8">
        <v>87</v>
      </c>
      <c r="W8" s="8" t="s">
        <v>56</v>
      </c>
      <c r="X8" s="8" t="s">
        <v>57</v>
      </c>
      <c r="Y8" s="13" t="s">
        <v>73</v>
      </c>
      <c r="Z8" s="9" t="s">
        <v>74</v>
      </c>
      <c r="AA8" s="11" t="s">
        <v>59</v>
      </c>
    </row>
    <row r="9" spans="1:193" ht="74.25" customHeight="1">
      <c r="A9" s="15"/>
      <c r="B9" s="15"/>
      <c r="C9" s="15"/>
      <c r="D9" s="39"/>
      <c r="E9" s="39"/>
      <c r="F9" s="40"/>
      <c r="G9" s="41"/>
      <c r="H9" s="22"/>
      <c r="I9" s="22"/>
      <c r="J9" s="22"/>
      <c r="K9" s="22"/>
      <c r="L9" s="8" t="s">
        <v>53</v>
      </c>
      <c r="M9" s="8"/>
      <c r="N9" s="9" t="s">
        <v>75</v>
      </c>
      <c r="O9" s="42" t="s">
        <v>39</v>
      </c>
      <c r="P9" s="42">
        <v>45989</v>
      </c>
      <c r="Q9" s="42">
        <v>45992</v>
      </c>
      <c r="R9" s="42" t="s">
        <v>39</v>
      </c>
      <c r="S9" s="8">
        <v>70</v>
      </c>
      <c r="T9" s="9" t="s">
        <v>76</v>
      </c>
      <c r="U9" s="38" t="s">
        <v>55</v>
      </c>
      <c r="V9" s="8">
        <v>116</v>
      </c>
      <c r="W9" s="8" t="s">
        <v>77</v>
      </c>
      <c r="X9" s="8" t="s">
        <v>57</v>
      </c>
      <c r="Y9" s="8"/>
      <c r="Z9" s="9" t="s">
        <v>78</v>
      </c>
      <c r="AA9" s="11" t="s">
        <v>59</v>
      </c>
    </row>
    <row r="10" spans="1:193" ht="27">
      <c r="A10" s="15"/>
      <c r="B10" s="15"/>
      <c r="C10" s="15"/>
      <c r="D10" s="39"/>
      <c r="E10" s="39"/>
      <c r="F10" s="40"/>
      <c r="G10" s="41"/>
      <c r="H10" s="22"/>
      <c r="I10" s="22"/>
      <c r="J10" s="22"/>
      <c r="K10" s="22"/>
      <c r="L10" s="8" t="s">
        <v>79</v>
      </c>
      <c r="M10" s="8"/>
      <c r="N10" s="9" t="s">
        <v>80</v>
      </c>
      <c r="O10" s="42" t="s">
        <v>39</v>
      </c>
      <c r="P10" s="42">
        <v>46010</v>
      </c>
      <c r="Q10" s="42" t="s">
        <v>39</v>
      </c>
      <c r="R10" s="42" t="s">
        <v>39</v>
      </c>
      <c r="S10" s="8">
        <v>0</v>
      </c>
      <c r="T10" s="12" t="s">
        <v>81</v>
      </c>
      <c r="U10" s="38" t="s">
        <v>82</v>
      </c>
      <c r="V10" s="8">
        <v>0</v>
      </c>
      <c r="W10" s="8" t="s">
        <v>77</v>
      </c>
      <c r="X10" s="8" t="s">
        <v>57</v>
      </c>
      <c r="Y10" s="13" t="s">
        <v>73</v>
      </c>
      <c r="Z10" s="12" t="s">
        <v>83</v>
      </c>
      <c r="AA10" s="11" t="s">
        <v>59</v>
      </c>
    </row>
    <row r="11" spans="1:193">
      <c r="A11" s="15"/>
      <c r="B11" s="15"/>
      <c r="C11" s="18" t="s">
        <v>84</v>
      </c>
      <c r="D11" s="18" t="s">
        <v>85</v>
      </c>
      <c r="E11" s="14" t="s">
        <v>86</v>
      </c>
      <c r="F11" s="44" t="s">
        <v>62</v>
      </c>
      <c r="G11" s="17" t="s">
        <v>87</v>
      </c>
      <c r="H11" s="18" t="s">
        <v>88</v>
      </c>
      <c r="I11" s="18" t="s">
        <v>39</v>
      </c>
      <c r="J11" s="22" t="s">
        <v>89</v>
      </c>
      <c r="K11" s="22" t="s">
        <v>39</v>
      </c>
      <c r="L11" s="8" t="s">
        <v>90</v>
      </c>
      <c r="M11" s="8"/>
      <c r="N11" s="18" t="s">
        <v>84</v>
      </c>
      <c r="O11" s="10">
        <v>45992</v>
      </c>
      <c r="P11" s="10">
        <v>46022</v>
      </c>
      <c r="Q11" s="10">
        <v>45992</v>
      </c>
      <c r="R11" s="10">
        <v>46022</v>
      </c>
      <c r="S11" s="8">
        <v>100</v>
      </c>
      <c r="T11" s="9" t="s">
        <v>91</v>
      </c>
      <c r="U11" s="38" t="s">
        <v>43</v>
      </c>
      <c r="V11" s="8">
        <v>0</v>
      </c>
      <c r="W11" s="13" t="s">
        <v>44</v>
      </c>
      <c r="X11" s="8" t="s">
        <v>45</v>
      </c>
      <c r="Y11" s="8"/>
      <c r="Z11" s="9"/>
      <c r="AA11" s="11" t="s">
        <v>48</v>
      </c>
    </row>
    <row r="12" spans="1:193">
      <c r="A12" s="15"/>
      <c r="B12" s="15"/>
      <c r="C12" s="18"/>
      <c r="D12" s="18"/>
      <c r="E12" s="14"/>
      <c r="F12" s="44"/>
      <c r="G12" s="17"/>
      <c r="H12" s="18"/>
      <c r="I12" s="18"/>
      <c r="J12" s="22"/>
      <c r="K12" s="22"/>
      <c r="L12" s="8" t="s">
        <v>49</v>
      </c>
      <c r="M12" s="8"/>
      <c r="N12" s="18"/>
      <c r="O12" s="10">
        <v>46023</v>
      </c>
      <c r="P12" s="10">
        <v>46053</v>
      </c>
      <c r="Q12" s="10">
        <v>46023</v>
      </c>
      <c r="R12" s="10">
        <v>46053</v>
      </c>
      <c r="S12" s="8">
        <v>100</v>
      </c>
      <c r="T12" s="9" t="s">
        <v>91</v>
      </c>
      <c r="U12" s="38" t="s">
        <v>43</v>
      </c>
      <c r="V12" s="8">
        <v>0</v>
      </c>
      <c r="W12" s="13" t="s">
        <v>44</v>
      </c>
      <c r="X12" s="8" t="s">
        <v>45</v>
      </c>
      <c r="Y12" s="8"/>
      <c r="Z12" s="9"/>
      <c r="AA12" s="11" t="s">
        <v>48</v>
      </c>
    </row>
    <row r="13" spans="1:193">
      <c r="A13" s="15"/>
      <c r="B13" s="15"/>
      <c r="C13" s="18"/>
      <c r="D13" s="18"/>
      <c r="E13" s="14"/>
      <c r="F13" s="44"/>
      <c r="G13" s="17"/>
      <c r="H13" s="18"/>
      <c r="I13" s="18"/>
      <c r="J13" s="22"/>
      <c r="K13" s="22"/>
      <c r="L13" s="8" t="s">
        <v>53</v>
      </c>
      <c r="M13" s="8"/>
      <c r="N13" s="18"/>
      <c r="O13" s="10">
        <v>46054</v>
      </c>
      <c r="P13" s="10">
        <v>46081</v>
      </c>
      <c r="Q13" s="10">
        <v>46054</v>
      </c>
      <c r="R13" s="10">
        <v>46081</v>
      </c>
      <c r="S13" s="8">
        <v>100</v>
      </c>
      <c r="T13" s="9" t="s">
        <v>91</v>
      </c>
      <c r="U13" s="38" t="s">
        <v>43</v>
      </c>
      <c r="V13" s="8">
        <v>0</v>
      </c>
      <c r="W13" s="13" t="s">
        <v>44</v>
      </c>
      <c r="X13" s="8" t="s">
        <v>45</v>
      </c>
      <c r="Y13" s="8"/>
      <c r="Z13" s="9"/>
      <c r="AA13" s="11" t="s">
        <v>48</v>
      </c>
    </row>
    <row r="14" spans="1:193">
      <c r="A14" s="15"/>
      <c r="B14" s="15"/>
      <c r="C14" s="18"/>
      <c r="D14" s="18"/>
      <c r="E14" s="14"/>
      <c r="F14" s="44"/>
      <c r="G14" s="17"/>
      <c r="H14" s="18"/>
      <c r="I14" s="18"/>
      <c r="J14" s="22"/>
      <c r="K14" s="22"/>
      <c r="L14" s="8" t="s">
        <v>79</v>
      </c>
      <c r="M14" s="8"/>
      <c r="N14" s="18"/>
      <c r="O14" s="10">
        <v>46082</v>
      </c>
      <c r="P14" s="10">
        <v>46112</v>
      </c>
      <c r="Q14" s="10">
        <v>46082</v>
      </c>
      <c r="R14" s="10">
        <v>46112</v>
      </c>
      <c r="S14" s="8">
        <v>0</v>
      </c>
      <c r="T14" s="9"/>
      <c r="U14" s="38"/>
      <c r="V14" s="8"/>
      <c r="W14" s="13"/>
      <c r="X14" s="8"/>
      <c r="Y14" s="8"/>
      <c r="Z14" s="9"/>
      <c r="AA14" s="11" t="s">
        <v>59</v>
      </c>
    </row>
    <row r="15" spans="1:193">
      <c r="A15" s="15"/>
      <c r="B15" s="15"/>
      <c r="C15" s="18"/>
      <c r="D15" s="18"/>
      <c r="E15" s="14"/>
      <c r="F15" s="44"/>
      <c r="G15" s="17"/>
      <c r="H15" s="18"/>
      <c r="I15" s="18"/>
      <c r="J15" s="22"/>
      <c r="K15" s="22"/>
      <c r="L15" s="8" t="s">
        <v>92</v>
      </c>
      <c r="M15" s="8"/>
      <c r="N15" s="18"/>
      <c r="O15" s="10">
        <v>46113</v>
      </c>
      <c r="P15" s="10">
        <v>46142</v>
      </c>
      <c r="Q15" s="10">
        <v>46113</v>
      </c>
      <c r="R15" s="10">
        <v>46142</v>
      </c>
      <c r="S15" s="8">
        <v>0</v>
      </c>
      <c r="T15" s="9"/>
      <c r="U15" s="8"/>
      <c r="V15" s="8"/>
      <c r="W15" s="8"/>
      <c r="X15" s="8"/>
      <c r="Y15" s="8"/>
      <c r="Z15" s="9"/>
      <c r="AA15" s="11" t="s">
        <v>59</v>
      </c>
    </row>
    <row r="16" spans="1:193">
      <c r="A16" s="15"/>
      <c r="B16" s="15"/>
      <c r="C16" s="18"/>
      <c r="D16" s="18"/>
      <c r="E16" s="14"/>
      <c r="F16" s="44"/>
      <c r="G16" s="17"/>
      <c r="H16" s="18"/>
      <c r="I16" s="18"/>
      <c r="J16" s="22"/>
      <c r="K16" s="22"/>
      <c r="L16" s="8" t="s">
        <v>93</v>
      </c>
      <c r="M16" s="8"/>
      <c r="N16" s="18"/>
      <c r="O16" s="10">
        <v>46143</v>
      </c>
      <c r="P16" s="10">
        <v>46173</v>
      </c>
      <c r="Q16" s="10">
        <v>46143</v>
      </c>
      <c r="R16" s="10">
        <v>46173</v>
      </c>
      <c r="S16" s="8">
        <v>0</v>
      </c>
      <c r="T16" s="9" t="s">
        <v>94</v>
      </c>
      <c r="U16" s="8"/>
      <c r="V16" s="8"/>
      <c r="W16" s="8"/>
      <c r="X16" s="8"/>
      <c r="Y16" s="8"/>
      <c r="Z16" s="9"/>
      <c r="AA16" s="11" t="s">
        <v>59</v>
      </c>
    </row>
    <row r="17" spans="1:27">
      <c r="A17" s="15"/>
      <c r="B17" s="15"/>
      <c r="C17" s="18"/>
      <c r="D17" s="18"/>
      <c r="E17" s="14"/>
      <c r="F17" s="44"/>
      <c r="G17" s="17"/>
      <c r="H17" s="18"/>
      <c r="I17" s="18"/>
      <c r="J17" s="22"/>
      <c r="K17" s="22"/>
      <c r="L17" s="8" t="s">
        <v>95</v>
      </c>
      <c r="M17" s="8"/>
      <c r="N17" s="18"/>
      <c r="O17" s="10">
        <v>46174</v>
      </c>
      <c r="P17" s="10">
        <v>46203</v>
      </c>
      <c r="Q17" s="10">
        <v>46174</v>
      </c>
      <c r="R17" s="10">
        <v>46203</v>
      </c>
      <c r="S17" s="8">
        <v>0</v>
      </c>
      <c r="T17" s="9"/>
      <c r="U17" s="8"/>
      <c r="V17" s="8"/>
      <c r="W17" s="8"/>
      <c r="X17" s="8"/>
      <c r="Y17" s="8"/>
      <c r="Z17" s="9"/>
      <c r="AA17" s="11" t="s">
        <v>59</v>
      </c>
    </row>
    <row r="18" spans="1:27">
      <c r="A18" s="15"/>
      <c r="B18" s="15"/>
      <c r="C18" s="18"/>
      <c r="D18" s="18"/>
      <c r="E18" s="14"/>
      <c r="F18" s="44"/>
      <c r="G18" s="17"/>
      <c r="H18" s="18"/>
      <c r="I18" s="18"/>
      <c r="J18" s="22"/>
      <c r="K18" s="22"/>
      <c r="L18" s="8" t="s">
        <v>96</v>
      </c>
      <c r="M18" s="8"/>
      <c r="N18" s="18"/>
      <c r="O18" s="10">
        <v>46204</v>
      </c>
      <c r="P18" s="10">
        <v>46234</v>
      </c>
      <c r="Q18" s="10">
        <v>46204</v>
      </c>
      <c r="R18" s="10">
        <v>46234</v>
      </c>
      <c r="S18" s="8">
        <v>0</v>
      </c>
      <c r="T18" s="9"/>
      <c r="U18" s="8"/>
      <c r="V18" s="8"/>
      <c r="W18" s="8"/>
      <c r="X18" s="8"/>
      <c r="Y18" s="8"/>
      <c r="Z18" s="9"/>
      <c r="AA18" s="11" t="s">
        <v>59</v>
      </c>
    </row>
    <row r="19" spans="1:27">
      <c r="A19" s="15"/>
      <c r="B19" s="15"/>
      <c r="C19" s="18"/>
      <c r="D19" s="18"/>
      <c r="E19" s="14"/>
      <c r="F19" s="44"/>
      <c r="G19" s="17"/>
      <c r="H19" s="18"/>
      <c r="I19" s="18"/>
      <c r="J19" s="22"/>
      <c r="K19" s="22"/>
      <c r="L19" s="8" t="s">
        <v>97</v>
      </c>
      <c r="M19" s="8"/>
      <c r="N19" s="18"/>
      <c r="O19" s="10">
        <v>46235</v>
      </c>
      <c r="P19" s="10">
        <v>46265</v>
      </c>
      <c r="Q19" s="10">
        <v>46235</v>
      </c>
      <c r="R19" s="10">
        <v>46265</v>
      </c>
      <c r="S19" s="8">
        <v>0</v>
      </c>
      <c r="T19" s="9"/>
      <c r="U19" s="8"/>
      <c r="V19" s="8"/>
      <c r="W19" s="8"/>
      <c r="X19" s="8"/>
      <c r="Y19" s="8"/>
      <c r="Z19" s="9"/>
      <c r="AA19" s="11" t="s">
        <v>59</v>
      </c>
    </row>
    <row r="20" spans="1:27">
      <c r="A20" s="15"/>
      <c r="B20" s="15"/>
      <c r="C20" s="18"/>
      <c r="D20" s="18"/>
      <c r="E20" s="14"/>
      <c r="F20" s="44"/>
      <c r="G20" s="17"/>
      <c r="H20" s="18"/>
      <c r="I20" s="18"/>
      <c r="J20" s="22"/>
      <c r="K20" s="22"/>
      <c r="L20" s="8" t="s">
        <v>98</v>
      </c>
      <c r="M20" s="8"/>
      <c r="N20" s="18"/>
      <c r="O20" s="10">
        <v>46266</v>
      </c>
      <c r="P20" s="10">
        <v>46295</v>
      </c>
      <c r="Q20" s="10">
        <v>46266</v>
      </c>
      <c r="R20" s="10">
        <v>46295</v>
      </c>
      <c r="S20" s="8">
        <v>0</v>
      </c>
      <c r="T20" s="9"/>
      <c r="U20" s="8"/>
      <c r="V20" s="8"/>
      <c r="W20" s="8"/>
      <c r="X20" s="8"/>
      <c r="Y20" s="8"/>
      <c r="Z20" s="9"/>
      <c r="AA20" s="11" t="s">
        <v>59</v>
      </c>
    </row>
    <row r="21" spans="1:27">
      <c r="A21" s="15"/>
      <c r="B21" s="15"/>
      <c r="C21" s="18"/>
      <c r="D21" s="18"/>
      <c r="E21" s="14"/>
      <c r="F21" s="44"/>
      <c r="G21" s="17"/>
      <c r="H21" s="18"/>
      <c r="I21" s="18"/>
      <c r="J21" s="22"/>
      <c r="K21" s="22"/>
      <c r="L21" s="8" t="s">
        <v>99</v>
      </c>
      <c r="M21" s="8"/>
      <c r="N21" s="18"/>
      <c r="O21" s="10">
        <v>46296</v>
      </c>
      <c r="P21" s="10">
        <v>46326</v>
      </c>
      <c r="Q21" s="10">
        <v>46296</v>
      </c>
      <c r="R21" s="10">
        <v>46326</v>
      </c>
      <c r="S21" s="8">
        <v>0</v>
      </c>
      <c r="T21" s="9"/>
      <c r="U21" s="8"/>
      <c r="V21" s="8"/>
      <c r="W21" s="8"/>
      <c r="X21" s="8"/>
      <c r="Y21" s="8"/>
      <c r="Z21" s="9"/>
      <c r="AA21" s="11" t="s">
        <v>59</v>
      </c>
    </row>
    <row r="22" spans="1:27">
      <c r="A22" s="15"/>
      <c r="B22" s="15"/>
      <c r="C22" s="18"/>
      <c r="D22" s="18"/>
      <c r="E22" s="14"/>
      <c r="F22" s="44"/>
      <c r="G22" s="17"/>
      <c r="H22" s="18"/>
      <c r="I22" s="18"/>
      <c r="J22" s="22"/>
      <c r="K22" s="22"/>
      <c r="L22" s="8" t="s">
        <v>100</v>
      </c>
      <c r="M22" s="8"/>
      <c r="N22" s="18"/>
      <c r="O22" s="10">
        <v>46327</v>
      </c>
      <c r="P22" s="10">
        <v>46356</v>
      </c>
      <c r="Q22" s="10">
        <v>46327</v>
      </c>
      <c r="R22" s="10">
        <v>46356</v>
      </c>
      <c r="S22" s="8">
        <v>0</v>
      </c>
      <c r="T22" s="9"/>
      <c r="U22" s="8"/>
      <c r="V22" s="8"/>
      <c r="W22" s="8"/>
      <c r="X22" s="8"/>
      <c r="Y22" s="8"/>
      <c r="Z22" s="9"/>
      <c r="AA22" s="11" t="s">
        <v>59</v>
      </c>
    </row>
    <row r="23" spans="1:27">
      <c r="A23" s="15"/>
      <c r="B23" s="15"/>
      <c r="C23" s="22" t="s">
        <v>101</v>
      </c>
      <c r="D23" s="15" t="s">
        <v>85</v>
      </c>
      <c r="E23" s="15" t="s">
        <v>86</v>
      </c>
      <c r="F23" s="16" t="s">
        <v>62</v>
      </c>
      <c r="G23" s="17" t="s">
        <v>63</v>
      </c>
      <c r="H23" s="22" t="s">
        <v>88</v>
      </c>
      <c r="I23" s="22" t="s">
        <v>65</v>
      </c>
      <c r="J23" s="18" t="s">
        <v>66</v>
      </c>
      <c r="K23" s="22" t="s">
        <v>67</v>
      </c>
      <c r="L23" s="8" t="s">
        <v>90</v>
      </c>
      <c r="M23" s="8"/>
      <c r="N23" s="22" t="s">
        <v>102</v>
      </c>
      <c r="O23" s="10">
        <v>46023</v>
      </c>
      <c r="P23" s="10">
        <v>46053</v>
      </c>
      <c r="Q23" s="10">
        <v>46023</v>
      </c>
      <c r="R23" s="10">
        <v>46053</v>
      </c>
      <c r="S23" s="8">
        <v>100</v>
      </c>
      <c r="T23" s="9" t="s">
        <v>91</v>
      </c>
      <c r="U23" s="8" t="s">
        <v>43</v>
      </c>
      <c r="V23" s="8">
        <v>0</v>
      </c>
      <c r="W23" s="13" t="s">
        <v>44</v>
      </c>
      <c r="X23" s="8" t="s">
        <v>45</v>
      </c>
      <c r="Y23" s="13"/>
      <c r="Z23" s="12"/>
      <c r="AA23" s="11" t="s">
        <v>48</v>
      </c>
    </row>
    <row r="24" spans="1:27">
      <c r="A24" s="15"/>
      <c r="B24" s="15"/>
      <c r="C24" s="15"/>
      <c r="D24" s="15"/>
      <c r="E24" s="15"/>
      <c r="F24" s="16"/>
      <c r="G24" s="17"/>
      <c r="H24" s="22"/>
      <c r="I24" s="22"/>
      <c r="J24" s="18"/>
      <c r="K24" s="22"/>
      <c r="L24" s="8" t="s">
        <v>49</v>
      </c>
      <c r="M24" s="8"/>
      <c r="N24" s="22"/>
      <c r="O24" s="10">
        <v>46054</v>
      </c>
      <c r="P24" s="10">
        <v>46081</v>
      </c>
      <c r="Q24" s="10">
        <v>46054</v>
      </c>
      <c r="R24" s="10">
        <v>46081</v>
      </c>
      <c r="S24" s="8">
        <v>100</v>
      </c>
      <c r="T24" s="9" t="s">
        <v>91</v>
      </c>
      <c r="U24" s="8" t="s">
        <v>43</v>
      </c>
      <c r="V24" s="8">
        <v>0</v>
      </c>
      <c r="W24" s="13" t="s">
        <v>44</v>
      </c>
      <c r="X24" s="8" t="s">
        <v>45</v>
      </c>
      <c r="Y24" s="13"/>
      <c r="Z24" s="12"/>
      <c r="AA24" s="11" t="s">
        <v>48</v>
      </c>
    </row>
    <row r="25" spans="1:27">
      <c r="A25" s="15"/>
      <c r="B25" s="15"/>
      <c r="C25" s="15"/>
      <c r="D25" s="15"/>
      <c r="E25" s="15"/>
      <c r="F25" s="16"/>
      <c r="G25" s="17"/>
      <c r="H25" s="22"/>
      <c r="I25" s="22"/>
      <c r="J25" s="18"/>
      <c r="K25" s="22"/>
      <c r="L25" s="8" t="s">
        <v>53</v>
      </c>
      <c r="M25" s="8"/>
      <c r="N25" s="22"/>
      <c r="O25" s="10">
        <v>46082</v>
      </c>
      <c r="P25" s="10">
        <v>46112</v>
      </c>
      <c r="Q25" s="10">
        <v>46082</v>
      </c>
      <c r="R25" s="10">
        <v>46112</v>
      </c>
      <c r="S25" s="8">
        <v>0</v>
      </c>
      <c r="T25" s="12"/>
      <c r="U25" s="13"/>
      <c r="V25" s="13"/>
      <c r="W25" s="13"/>
      <c r="X25" s="13"/>
      <c r="Y25" s="13"/>
      <c r="Z25" s="12"/>
      <c r="AA25" s="11" t="s">
        <v>59</v>
      </c>
    </row>
    <row r="26" spans="1:27">
      <c r="A26" s="15"/>
      <c r="B26" s="15"/>
      <c r="C26" s="15"/>
      <c r="D26" s="15"/>
      <c r="E26" s="15"/>
      <c r="F26" s="16"/>
      <c r="G26" s="17"/>
      <c r="H26" s="22"/>
      <c r="I26" s="22"/>
      <c r="J26" s="18"/>
      <c r="K26" s="22"/>
      <c r="L26" s="8" t="s">
        <v>79</v>
      </c>
      <c r="M26" s="8"/>
      <c r="N26" s="22"/>
      <c r="O26" s="10">
        <v>46113</v>
      </c>
      <c r="P26" s="10">
        <v>46142</v>
      </c>
      <c r="Q26" s="10">
        <v>46113</v>
      </c>
      <c r="R26" s="10">
        <v>46142</v>
      </c>
      <c r="S26" s="8">
        <v>0</v>
      </c>
      <c r="T26" s="12"/>
      <c r="U26" s="13"/>
      <c r="V26" s="13"/>
      <c r="W26" s="13"/>
      <c r="X26" s="13"/>
      <c r="Y26" s="13"/>
      <c r="Z26" s="12"/>
      <c r="AA26" s="11" t="s">
        <v>59</v>
      </c>
    </row>
    <row r="27" spans="1:27">
      <c r="A27" s="15"/>
      <c r="B27" s="15"/>
      <c r="C27" s="15"/>
      <c r="D27" s="15"/>
      <c r="E27" s="15"/>
      <c r="F27" s="16"/>
      <c r="G27" s="17"/>
      <c r="H27" s="22"/>
      <c r="I27" s="22"/>
      <c r="J27" s="18"/>
      <c r="K27" s="22"/>
      <c r="L27" s="8" t="s">
        <v>92</v>
      </c>
      <c r="M27" s="8"/>
      <c r="N27" s="22"/>
      <c r="O27" s="10">
        <v>46143</v>
      </c>
      <c r="P27" s="10">
        <v>46173</v>
      </c>
      <c r="Q27" s="10">
        <v>46143</v>
      </c>
      <c r="R27" s="10">
        <v>46173</v>
      </c>
      <c r="S27" s="8">
        <v>0</v>
      </c>
      <c r="T27" s="12"/>
      <c r="U27" s="13"/>
      <c r="V27" s="13"/>
      <c r="W27" s="13"/>
      <c r="X27" s="13"/>
      <c r="Y27" s="13"/>
      <c r="Z27" s="12"/>
      <c r="AA27" s="11" t="s">
        <v>59</v>
      </c>
    </row>
    <row r="28" spans="1:27">
      <c r="A28" s="15"/>
      <c r="B28" s="15"/>
      <c r="C28" s="15"/>
      <c r="D28" s="15"/>
      <c r="E28" s="15"/>
      <c r="F28" s="16"/>
      <c r="G28" s="17"/>
      <c r="H28" s="22"/>
      <c r="I28" s="22"/>
      <c r="J28" s="18"/>
      <c r="K28" s="22"/>
      <c r="L28" s="8" t="s">
        <v>93</v>
      </c>
      <c r="M28" s="8"/>
      <c r="N28" s="22"/>
      <c r="O28" s="10">
        <v>46174</v>
      </c>
      <c r="P28" s="10">
        <v>46203</v>
      </c>
      <c r="Q28" s="10">
        <v>46174</v>
      </c>
      <c r="R28" s="10">
        <v>46203</v>
      </c>
      <c r="S28" s="8">
        <v>0</v>
      </c>
      <c r="T28" s="12"/>
      <c r="U28" s="13"/>
      <c r="V28" s="13"/>
      <c r="W28" s="13"/>
      <c r="X28" s="13"/>
      <c r="Y28" s="13"/>
      <c r="Z28" s="12"/>
      <c r="AA28" s="11" t="s">
        <v>59</v>
      </c>
    </row>
    <row r="29" spans="1:27">
      <c r="A29" s="15"/>
      <c r="B29" s="15"/>
      <c r="C29" s="15"/>
      <c r="D29" s="15"/>
      <c r="E29" s="15"/>
      <c r="F29" s="16"/>
      <c r="G29" s="17"/>
      <c r="H29" s="22"/>
      <c r="I29" s="22"/>
      <c r="J29" s="18"/>
      <c r="K29" s="22"/>
      <c r="L29" s="8" t="s">
        <v>95</v>
      </c>
      <c r="M29" s="8"/>
      <c r="N29" s="22"/>
      <c r="O29" s="10">
        <v>46204</v>
      </c>
      <c r="P29" s="10">
        <v>46234</v>
      </c>
      <c r="Q29" s="10">
        <v>46204</v>
      </c>
      <c r="R29" s="10">
        <v>46234</v>
      </c>
      <c r="S29" s="8">
        <v>0</v>
      </c>
      <c r="T29" s="12"/>
      <c r="U29" s="13"/>
      <c r="V29" s="13"/>
      <c r="W29" s="13"/>
      <c r="X29" s="13"/>
      <c r="Y29" s="13"/>
      <c r="Z29" s="12"/>
      <c r="AA29" s="11" t="s">
        <v>59</v>
      </c>
    </row>
    <row r="30" spans="1:27">
      <c r="A30" s="15"/>
      <c r="B30" s="15"/>
      <c r="C30" s="15"/>
      <c r="D30" s="15"/>
      <c r="E30" s="15"/>
      <c r="F30" s="16"/>
      <c r="G30" s="17"/>
      <c r="H30" s="22"/>
      <c r="I30" s="22"/>
      <c r="J30" s="18"/>
      <c r="K30" s="22"/>
      <c r="L30" s="8" t="s">
        <v>96</v>
      </c>
      <c r="M30" s="8"/>
      <c r="N30" s="22"/>
      <c r="O30" s="10">
        <v>46235</v>
      </c>
      <c r="P30" s="10">
        <v>46265</v>
      </c>
      <c r="Q30" s="10">
        <v>46235</v>
      </c>
      <c r="R30" s="10">
        <v>46265</v>
      </c>
      <c r="S30" s="8">
        <v>0</v>
      </c>
      <c r="T30" s="12"/>
      <c r="U30" s="13"/>
      <c r="V30" s="13"/>
      <c r="W30" s="13"/>
      <c r="X30" s="13"/>
      <c r="Y30" s="13"/>
      <c r="Z30" s="12"/>
      <c r="AA30" s="11" t="s">
        <v>59</v>
      </c>
    </row>
    <row r="31" spans="1:27">
      <c r="A31" s="15"/>
      <c r="B31" s="15"/>
      <c r="C31" s="15"/>
      <c r="D31" s="15"/>
      <c r="E31" s="15"/>
      <c r="F31" s="16"/>
      <c r="G31" s="17"/>
      <c r="H31" s="22"/>
      <c r="I31" s="22"/>
      <c r="J31" s="18"/>
      <c r="K31" s="22"/>
      <c r="L31" s="8" t="s">
        <v>97</v>
      </c>
      <c r="M31" s="8"/>
      <c r="N31" s="22"/>
      <c r="O31" s="10">
        <v>46266</v>
      </c>
      <c r="P31" s="10">
        <v>46295</v>
      </c>
      <c r="Q31" s="10">
        <v>46266</v>
      </c>
      <c r="R31" s="10">
        <v>46295</v>
      </c>
      <c r="S31" s="8">
        <v>0</v>
      </c>
      <c r="T31" s="12"/>
      <c r="U31" s="13"/>
      <c r="V31" s="13"/>
      <c r="W31" s="13"/>
      <c r="X31" s="13"/>
      <c r="Y31" s="13"/>
      <c r="Z31" s="12"/>
      <c r="AA31" s="11" t="s">
        <v>59</v>
      </c>
    </row>
    <row r="32" spans="1:27">
      <c r="A32" s="15"/>
      <c r="B32" s="15"/>
      <c r="C32" s="15"/>
      <c r="D32" s="15"/>
      <c r="E32" s="15"/>
      <c r="F32" s="16"/>
      <c r="G32" s="17"/>
      <c r="H32" s="22"/>
      <c r="I32" s="22"/>
      <c r="J32" s="18"/>
      <c r="K32" s="22"/>
      <c r="L32" s="8" t="s">
        <v>98</v>
      </c>
      <c r="M32" s="8"/>
      <c r="N32" s="22"/>
      <c r="O32" s="10">
        <v>46296</v>
      </c>
      <c r="P32" s="10">
        <v>46326</v>
      </c>
      <c r="Q32" s="10">
        <v>46296</v>
      </c>
      <c r="R32" s="10">
        <v>46326</v>
      </c>
      <c r="S32" s="8">
        <v>0</v>
      </c>
      <c r="T32" s="12"/>
      <c r="U32" s="13"/>
      <c r="V32" s="13"/>
      <c r="W32" s="13"/>
      <c r="X32" s="13"/>
      <c r="Y32" s="13"/>
      <c r="Z32" s="12"/>
      <c r="AA32" s="11" t="s">
        <v>59</v>
      </c>
    </row>
    <row r="33" spans="1:193">
      <c r="A33" s="15"/>
      <c r="B33" s="15"/>
      <c r="C33" s="15"/>
      <c r="D33" s="15"/>
      <c r="E33" s="15"/>
      <c r="F33" s="16"/>
      <c r="G33" s="17"/>
      <c r="H33" s="22"/>
      <c r="I33" s="22"/>
      <c r="J33" s="18"/>
      <c r="K33" s="22"/>
      <c r="L33" s="8" t="s">
        <v>99</v>
      </c>
      <c r="M33" s="8"/>
      <c r="N33" s="22"/>
      <c r="O33" s="10">
        <v>46327</v>
      </c>
      <c r="P33" s="10">
        <v>46356</v>
      </c>
      <c r="Q33" s="10">
        <v>46327</v>
      </c>
      <c r="R33" s="10">
        <v>46356</v>
      </c>
      <c r="S33" s="8">
        <v>0</v>
      </c>
      <c r="T33" s="12"/>
      <c r="U33" s="13"/>
      <c r="V33" s="13"/>
      <c r="W33" s="13"/>
      <c r="X33" s="13"/>
      <c r="Y33" s="13"/>
      <c r="Z33" s="12"/>
      <c r="AA33" s="11" t="s">
        <v>59</v>
      </c>
    </row>
    <row r="34" spans="1:193">
      <c r="A34" s="15"/>
      <c r="B34" s="15"/>
      <c r="C34" s="15"/>
      <c r="D34" s="15"/>
      <c r="E34" s="15"/>
      <c r="F34" s="16"/>
      <c r="G34" s="17"/>
      <c r="H34" s="22"/>
      <c r="I34" s="22"/>
      <c r="J34" s="18"/>
      <c r="K34" s="22"/>
      <c r="L34" s="8" t="s">
        <v>100</v>
      </c>
      <c r="M34" s="8"/>
      <c r="N34" s="22"/>
      <c r="O34" s="10">
        <v>46357</v>
      </c>
      <c r="P34" s="10">
        <v>46387</v>
      </c>
      <c r="Q34" s="10">
        <v>46357</v>
      </c>
      <c r="R34" s="10">
        <v>46387</v>
      </c>
      <c r="S34" s="13">
        <v>0</v>
      </c>
      <c r="T34" s="12"/>
      <c r="U34" s="13"/>
      <c r="V34" s="13"/>
      <c r="W34" s="13"/>
      <c r="X34" s="13"/>
      <c r="Y34" s="13"/>
      <c r="Z34" s="12"/>
      <c r="AA34" s="11" t="s">
        <v>59</v>
      </c>
    </row>
    <row r="35" spans="1:193" ht="15" customHeight="1">
      <c r="A35" s="15"/>
      <c r="B35" s="15"/>
      <c r="C35" s="14" t="s">
        <v>103</v>
      </c>
      <c r="D35" s="14" t="s">
        <v>33</v>
      </c>
      <c r="E35" s="14" t="s">
        <v>15</v>
      </c>
      <c r="F35" s="16" t="s">
        <v>62</v>
      </c>
      <c r="G35" s="17"/>
      <c r="H35" s="18" t="s">
        <v>104</v>
      </c>
      <c r="I35" s="18" t="s">
        <v>105</v>
      </c>
      <c r="J35" s="18" t="s">
        <v>89</v>
      </c>
      <c r="K35" s="18"/>
      <c r="L35" s="8" t="s">
        <v>90</v>
      </c>
      <c r="M35" s="14"/>
      <c r="N35" s="8" t="s">
        <v>106</v>
      </c>
      <c r="O35" s="10" t="s">
        <v>107</v>
      </c>
      <c r="P35" s="10" t="s">
        <v>108</v>
      </c>
      <c r="Q35" s="10" t="s">
        <v>109</v>
      </c>
      <c r="R35" s="10" t="s">
        <v>109</v>
      </c>
      <c r="S35" s="8">
        <v>0</v>
      </c>
      <c r="T35" s="9" t="s">
        <v>110</v>
      </c>
      <c r="U35" s="8"/>
      <c r="V35" s="8"/>
      <c r="W35" s="8"/>
      <c r="X35" s="8"/>
      <c r="Y35" s="8"/>
      <c r="Z35" s="9"/>
      <c r="AA35" s="11" t="s">
        <v>59</v>
      </c>
    </row>
    <row r="36" spans="1:193" ht="40.5">
      <c r="A36" s="15"/>
      <c r="B36" s="15"/>
      <c r="C36" s="14"/>
      <c r="D36" s="14"/>
      <c r="E36" s="14"/>
      <c r="F36" s="16"/>
      <c r="G36" s="17"/>
      <c r="H36" s="18"/>
      <c r="I36" s="18"/>
      <c r="J36" s="18"/>
      <c r="K36" s="18"/>
      <c r="L36" s="8" t="s">
        <v>49</v>
      </c>
      <c r="M36" s="14"/>
      <c r="N36" s="8" t="s">
        <v>111</v>
      </c>
      <c r="O36" s="10" t="s">
        <v>108</v>
      </c>
      <c r="P36" s="10" t="s">
        <v>112</v>
      </c>
      <c r="Q36" s="10" t="s">
        <v>109</v>
      </c>
      <c r="R36" s="10" t="s">
        <v>109</v>
      </c>
      <c r="S36" s="8">
        <v>0</v>
      </c>
      <c r="T36" s="9" t="s">
        <v>113</v>
      </c>
      <c r="U36" s="8"/>
      <c r="V36" s="8"/>
      <c r="W36" s="8"/>
      <c r="X36" s="8"/>
      <c r="Y36" s="8"/>
      <c r="Z36" s="9"/>
      <c r="AA36" s="11" t="s">
        <v>59</v>
      </c>
    </row>
    <row r="37" spans="1:193">
      <c r="A37" s="15"/>
      <c r="B37" s="15"/>
      <c r="C37" s="14"/>
      <c r="D37" s="14"/>
      <c r="E37" s="14"/>
      <c r="F37" s="16"/>
      <c r="G37" s="17"/>
      <c r="H37" s="18"/>
      <c r="I37" s="18"/>
      <c r="J37" s="18"/>
      <c r="K37" s="18"/>
      <c r="L37" s="8" t="s">
        <v>53</v>
      </c>
      <c r="M37" s="14"/>
      <c r="N37" s="8" t="s">
        <v>114</v>
      </c>
      <c r="O37" s="10" t="s">
        <v>112</v>
      </c>
      <c r="P37" s="10" t="s">
        <v>115</v>
      </c>
      <c r="Q37" s="10" t="s">
        <v>109</v>
      </c>
      <c r="R37" s="10" t="s">
        <v>109</v>
      </c>
      <c r="S37" s="8">
        <v>0</v>
      </c>
      <c r="T37" s="9" t="s">
        <v>116</v>
      </c>
      <c r="U37" s="8"/>
      <c r="V37" s="8"/>
      <c r="W37" s="8"/>
      <c r="X37" s="8"/>
      <c r="Y37" s="8"/>
      <c r="Z37" s="9"/>
      <c r="AA37" s="11" t="s">
        <v>59</v>
      </c>
    </row>
    <row r="38" spans="1:193">
      <c r="A38" s="15"/>
      <c r="B38" s="15"/>
      <c r="C38" s="14"/>
      <c r="D38" s="14"/>
      <c r="E38" s="14"/>
      <c r="F38" s="16"/>
      <c r="G38" s="17"/>
      <c r="H38" s="18"/>
      <c r="I38" s="18"/>
      <c r="J38" s="18"/>
      <c r="K38" s="18"/>
      <c r="L38" s="8" t="s">
        <v>79</v>
      </c>
      <c r="M38" s="14"/>
      <c r="N38" s="8" t="s">
        <v>117</v>
      </c>
      <c r="O38" s="10" t="s">
        <v>115</v>
      </c>
      <c r="P38" s="10" t="s">
        <v>115</v>
      </c>
      <c r="Q38" s="10" t="s">
        <v>109</v>
      </c>
      <c r="R38" s="10" t="s">
        <v>109</v>
      </c>
      <c r="S38" s="8">
        <v>0</v>
      </c>
      <c r="T38" s="9" t="s">
        <v>118</v>
      </c>
      <c r="U38" s="8"/>
      <c r="V38" s="8"/>
      <c r="W38" s="8"/>
      <c r="X38" s="8"/>
      <c r="Y38" s="8"/>
      <c r="Z38" s="9"/>
      <c r="AA38" s="11" t="s">
        <v>59</v>
      </c>
    </row>
    <row r="39" spans="1:193">
      <c r="A39" s="15"/>
      <c r="B39" s="15"/>
      <c r="C39" s="14"/>
      <c r="D39" s="14"/>
      <c r="E39" s="14"/>
      <c r="F39" s="16"/>
      <c r="G39" s="17"/>
      <c r="H39" s="18"/>
      <c r="I39" s="18"/>
      <c r="J39" s="18"/>
      <c r="K39" s="18"/>
      <c r="L39" s="8" t="s">
        <v>92</v>
      </c>
      <c r="M39" s="14"/>
      <c r="N39" s="8" t="s">
        <v>119</v>
      </c>
      <c r="O39" s="10" t="s">
        <v>115</v>
      </c>
      <c r="P39" s="10" t="s">
        <v>120</v>
      </c>
      <c r="Q39" s="10" t="s">
        <v>109</v>
      </c>
      <c r="R39" s="10" t="s">
        <v>109</v>
      </c>
      <c r="S39" s="8">
        <v>0</v>
      </c>
      <c r="T39" s="9" t="s">
        <v>121</v>
      </c>
      <c r="U39" s="8"/>
      <c r="V39" s="8"/>
      <c r="W39" s="8"/>
      <c r="X39" s="8"/>
      <c r="Y39" s="8"/>
      <c r="Z39" s="9"/>
      <c r="AA39" s="11" t="s">
        <v>59</v>
      </c>
    </row>
    <row r="40" spans="1:193">
      <c r="A40" s="15"/>
      <c r="B40" s="15"/>
      <c r="C40" s="14"/>
      <c r="D40" s="14"/>
      <c r="E40" s="14"/>
      <c r="F40" s="16"/>
      <c r="G40" s="17"/>
      <c r="H40" s="18"/>
      <c r="I40" s="18"/>
      <c r="J40" s="18"/>
      <c r="K40" s="18"/>
      <c r="L40" s="8" t="s">
        <v>93</v>
      </c>
      <c r="M40" s="14"/>
      <c r="N40" s="8" t="s">
        <v>122</v>
      </c>
      <c r="O40" s="10" t="s">
        <v>120</v>
      </c>
      <c r="P40" s="10" t="s">
        <v>123</v>
      </c>
      <c r="Q40" s="10" t="s">
        <v>109</v>
      </c>
      <c r="R40" s="10" t="s">
        <v>109</v>
      </c>
      <c r="S40" s="8">
        <v>0</v>
      </c>
      <c r="T40" s="9" t="s">
        <v>124</v>
      </c>
      <c r="U40" s="8"/>
      <c r="V40" s="8"/>
      <c r="W40" s="8"/>
      <c r="X40" s="8"/>
      <c r="Y40" s="8"/>
      <c r="Z40" s="9"/>
      <c r="AA40" s="11" t="s">
        <v>59</v>
      </c>
    </row>
    <row r="41" spans="1:193" s="3" customFormat="1">
      <c r="A41" s="14">
        <v>3</v>
      </c>
      <c r="B41" s="15" t="s">
        <v>125</v>
      </c>
      <c r="C41" s="14" t="s">
        <v>126</v>
      </c>
      <c r="D41" s="14" t="s">
        <v>85</v>
      </c>
      <c r="E41" s="14" t="s">
        <v>86</v>
      </c>
      <c r="F41" s="16" t="s">
        <v>127</v>
      </c>
      <c r="G41" s="17" t="s">
        <v>128</v>
      </c>
      <c r="H41" s="18" t="s">
        <v>88</v>
      </c>
      <c r="I41" s="18" t="s">
        <v>129</v>
      </c>
      <c r="J41" s="18" t="s">
        <v>89</v>
      </c>
      <c r="K41" s="18" t="s">
        <v>39</v>
      </c>
      <c r="L41" s="8" t="s">
        <v>90</v>
      </c>
      <c r="M41" s="8"/>
      <c r="N41" s="14" t="s">
        <v>126</v>
      </c>
      <c r="O41" s="10">
        <v>45897</v>
      </c>
      <c r="P41" s="10">
        <v>45900</v>
      </c>
      <c r="Q41" s="10">
        <v>45897</v>
      </c>
      <c r="R41" s="10">
        <v>45900</v>
      </c>
      <c r="S41" s="8">
        <v>100</v>
      </c>
      <c r="T41" s="9" t="s">
        <v>91</v>
      </c>
      <c r="U41" s="8" t="s">
        <v>43</v>
      </c>
      <c r="V41" s="8">
        <v>0</v>
      </c>
      <c r="W41" s="13" t="s">
        <v>44</v>
      </c>
      <c r="X41" s="8" t="s">
        <v>45</v>
      </c>
      <c r="Y41" s="8"/>
      <c r="Z41" s="9"/>
      <c r="AA41" s="11" t="s">
        <v>48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</row>
    <row r="42" spans="1:193">
      <c r="A42" s="14"/>
      <c r="B42" s="15"/>
      <c r="C42" s="14"/>
      <c r="D42" s="14"/>
      <c r="E42" s="14"/>
      <c r="F42" s="16"/>
      <c r="G42" s="17"/>
      <c r="H42" s="18"/>
      <c r="I42" s="18"/>
      <c r="J42" s="18"/>
      <c r="K42" s="18"/>
      <c r="L42" s="8" t="s">
        <v>49</v>
      </c>
      <c r="M42" s="8"/>
      <c r="N42" s="14"/>
      <c r="O42" s="10">
        <v>45901</v>
      </c>
      <c r="P42" s="10">
        <v>45930</v>
      </c>
      <c r="Q42" s="10">
        <v>45901</v>
      </c>
      <c r="R42" s="10">
        <v>45930</v>
      </c>
      <c r="S42" s="8">
        <v>100</v>
      </c>
      <c r="T42" s="9" t="s">
        <v>91</v>
      </c>
      <c r="U42" s="8" t="s">
        <v>43</v>
      </c>
      <c r="V42" s="8">
        <v>0</v>
      </c>
      <c r="W42" s="13" t="s">
        <v>44</v>
      </c>
      <c r="X42" s="8" t="s">
        <v>45</v>
      </c>
      <c r="Y42" s="8"/>
      <c r="Z42" s="9"/>
      <c r="AA42" s="11" t="s">
        <v>48</v>
      </c>
    </row>
    <row r="43" spans="1:193">
      <c r="A43" s="14"/>
      <c r="B43" s="15"/>
      <c r="C43" s="14"/>
      <c r="D43" s="14"/>
      <c r="E43" s="14"/>
      <c r="F43" s="16"/>
      <c r="G43" s="17"/>
      <c r="H43" s="18"/>
      <c r="I43" s="18"/>
      <c r="J43" s="18"/>
      <c r="K43" s="18"/>
      <c r="L43" s="8" t="s">
        <v>53</v>
      </c>
      <c r="M43" s="8"/>
      <c r="N43" s="14"/>
      <c r="O43" s="10">
        <v>45931</v>
      </c>
      <c r="P43" s="10">
        <v>45961</v>
      </c>
      <c r="Q43" s="10">
        <v>45931</v>
      </c>
      <c r="R43" s="10">
        <v>45961</v>
      </c>
      <c r="S43" s="8">
        <v>100</v>
      </c>
      <c r="T43" s="9" t="s">
        <v>91</v>
      </c>
      <c r="U43" s="8" t="s">
        <v>43</v>
      </c>
      <c r="V43" s="8">
        <v>0</v>
      </c>
      <c r="W43" s="13" t="s">
        <v>44</v>
      </c>
      <c r="X43" s="8" t="s">
        <v>45</v>
      </c>
      <c r="Y43" s="8"/>
      <c r="Z43" s="9"/>
      <c r="AA43" s="11" t="s">
        <v>48</v>
      </c>
    </row>
    <row r="44" spans="1:193">
      <c r="A44" s="14"/>
      <c r="B44" s="15"/>
      <c r="C44" s="14"/>
      <c r="D44" s="14"/>
      <c r="E44" s="14"/>
      <c r="F44" s="16"/>
      <c r="G44" s="17"/>
      <c r="H44" s="18"/>
      <c r="I44" s="18"/>
      <c r="J44" s="18"/>
      <c r="K44" s="18"/>
      <c r="L44" s="8" t="s">
        <v>79</v>
      </c>
      <c r="M44" s="8"/>
      <c r="N44" s="14"/>
      <c r="O44" s="10">
        <v>45962</v>
      </c>
      <c r="P44" s="10">
        <v>45991</v>
      </c>
      <c r="Q44" s="10">
        <v>45962</v>
      </c>
      <c r="R44" s="10">
        <v>45991</v>
      </c>
      <c r="S44" s="8">
        <v>100</v>
      </c>
      <c r="T44" s="9" t="s">
        <v>91</v>
      </c>
      <c r="U44" s="8" t="s">
        <v>43</v>
      </c>
      <c r="V44" s="8">
        <v>0</v>
      </c>
      <c r="W44" s="13" t="s">
        <v>44</v>
      </c>
      <c r="X44" s="8" t="s">
        <v>45</v>
      </c>
      <c r="Y44" s="8"/>
      <c r="Z44" s="9"/>
      <c r="AA44" s="11" t="s">
        <v>48</v>
      </c>
    </row>
    <row r="45" spans="1:193">
      <c r="A45" s="14"/>
      <c r="B45" s="15"/>
      <c r="C45" s="14"/>
      <c r="D45" s="14"/>
      <c r="E45" s="14"/>
      <c r="F45" s="16"/>
      <c r="G45" s="17"/>
      <c r="H45" s="18"/>
      <c r="I45" s="18"/>
      <c r="J45" s="18"/>
      <c r="K45" s="18"/>
      <c r="L45" s="8" t="s">
        <v>92</v>
      </c>
      <c r="M45" s="8"/>
      <c r="N45" s="14"/>
      <c r="O45" s="10">
        <v>45992</v>
      </c>
      <c r="P45" s="10">
        <v>46022</v>
      </c>
      <c r="Q45" s="10">
        <v>45992</v>
      </c>
      <c r="R45" s="10">
        <v>46022</v>
      </c>
      <c r="S45" s="8">
        <v>100</v>
      </c>
      <c r="T45" s="9" t="s">
        <v>91</v>
      </c>
      <c r="U45" s="8" t="s">
        <v>43</v>
      </c>
      <c r="V45" s="8">
        <v>0</v>
      </c>
      <c r="W45" s="13" t="s">
        <v>44</v>
      </c>
      <c r="X45" s="8" t="s">
        <v>45</v>
      </c>
      <c r="Y45" s="8"/>
      <c r="Z45" s="9"/>
      <c r="AA45" s="11" t="s">
        <v>48</v>
      </c>
    </row>
    <row r="46" spans="1:193">
      <c r="A46" s="14"/>
      <c r="B46" s="15"/>
      <c r="C46" s="14"/>
      <c r="D46" s="14"/>
      <c r="E46" s="14"/>
      <c r="F46" s="16"/>
      <c r="G46" s="17"/>
      <c r="H46" s="18"/>
      <c r="I46" s="18"/>
      <c r="J46" s="18"/>
      <c r="K46" s="18"/>
      <c r="L46" s="8" t="s">
        <v>93</v>
      </c>
      <c r="M46" s="8"/>
      <c r="N46" s="14"/>
      <c r="O46" s="10">
        <v>46023</v>
      </c>
      <c r="P46" s="10">
        <v>46053</v>
      </c>
      <c r="Q46" s="10">
        <v>46023</v>
      </c>
      <c r="R46" s="10">
        <v>46053</v>
      </c>
      <c r="S46" s="8">
        <v>100</v>
      </c>
      <c r="T46" s="9" t="s">
        <v>91</v>
      </c>
      <c r="U46" s="8" t="s">
        <v>43</v>
      </c>
      <c r="V46" s="8">
        <v>0</v>
      </c>
      <c r="W46" s="13" t="s">
        <v>44</v>
      </c>
      <c r="X46" s="8" t="s">
        <v>45</v>
      </c>
      <c r="Y46" s="8"/>
      <c r="Z46" s="9"/>
      <c r="AA46" s="11" t="s">
        <v>48</v>
      </c>
    </row>
    <row r="47" spans="1:193">
      <c r="A47" s="14"/>
      <c r="B47" s="15"/>
      <c r="C47" s="14"/>
      <c r="D47" s="14"/>
      <c r="E47" s="14"/>
      <c r="F47" s="16"/>
      <c r="G47" s="17"/>
      <c r="H47" s="18"/>
      <c r="I47" s="18"/>
      <c r="J47" s="18"/>
      <c r="K47" s="18"/>
      <c r="L47" s="8" t="s">
        <v>95</v>
      </c>
      <c r="M47" s="8"/>
      <c r="N47" s="14"/>
      <c r="O47" s="10">
        <v>46054</v>
      </c>
      <c r="P47" s="10">
        <v>46081</v>
      </c>
      <c r="Q47" s="10">
        <v>46054</v>
      </c>
      <c r="R47" s="10">
        <v>46081</v>
      </c>
      <c r="S47" s="8">
        <v>100</v>
      </c>
      <c r="T47" s="9" t="s">
        <v>91</v>
      </c>
      <c r="U47" s="8" t="s">
        <v>43</v>
      </c>
      <c r="V47" s="8">
        <f>R47-P47</f>
        <v>0</v>
      </c>
      <c r="W47" s="13" t="s">
        <v>44</v>
      </c>
      <c r="X47" s="8" t="s">
        <v>45</v>
      </c>
      <c r="Y47" s="8"/>
      <c r="Z47" s="9"/>
      <c r="AA47" s="11" t="s">
        <v>48</v>
      </c>
    </row>
    <row r="48" spans="1:193">
      <c r="A48" s="14"/>
      <c r="B48" s="15"/>
      <c r="C48" s="14"/>
      <c r="D48" s="14"/>
      <c r="E48" s="14"/>
      <c r="F48" s="16"/>
      <c r="G48" s="17"/>
      <c r="H48" s="18"/>
      <c r="I48" s="18"/>
      <c r="J48" s="18"/>
      <c r="K48" s="18"/>
      <c r="L48" s="8" t="s">
        <v>96</v>
      </c>
      <c r="M48" s="8"/>
      <c r="N48" s="14"/>
      <c r="O48" s="10">
        <v>46082</v>
      </c>
      <c r="P48" s="10">
        <v>46112</v>
      </c>
      <c r="Q48" s="10">
        <v>46082</v>
      </c>
      <c r="R48" s="10">
        <v>46112</v>
      </c>
      <c r="S48" s="8">
        <v>0</v>
      </c>
      <c r="T48" s="9"/>
      <c r="U48" s="8"/>
      <c r="V48" s="8"/>
      <c r="W48" s="8"/>
      <c r="X48" s="8"/>
      <c r="Y48" s="8"/>
      <c r="Z48" s="9"/>
      <c r="AA48" s="11" t="s">
        <v>59</v>
      </c>
    </row>
    <row r="49" spans="1:193">
      <c r="A49" s="14"/>
      <c r="B49" s="15"/>
      <c r="C49" s="14"/>
      <c r="D49" s="14"/>
      <c r="E49" s="14"/>
      <c r="F49" s="16"/>
      <c r="G49" s="17"/>
      <c r="H49" s="18"/>
      <c r="I49" s="18"/>
      <c r="J49" s="18"/>
      <c r="K49" s="18"/>
      <c r="L49" s="8" t="s">
        <v>97</v>
      </c>
      <c r="M49" s="8"/>
      <c r="N49" s="14"/>
      <c r="O49" s="10">
        <v>46113</v>
      </c>
      <c r="P49" s="10">
        <v>46142</v>
      </c>
      <c r="Q49" s="10">
        <v>46113</v>
      </c>
      <c r="R49" s="10">
        <v>46142</v>
      </c>
      <c r="S49" s="8">
        <v>0</v>
      </c>
      <c r="T49" s="9"/>
      <c r="U49" s="8"/>
      <c r="V49" s="8"/>
      <c r="W49" s="8"/>
      <c r="X49" s="8"/>
      <c r="Y49" s="8"/>
      <c r="Z49" s="9"/>
      <c r="AA49" s="11" t="s">
        <v>59</v>
      </c>
    </row>
    <row r="50" spans="1:193">
      <c r="A50" s="14"/>
      <c r="B50" s="15"/>
      <c r="C50" s="14"/>
      <c r="D50" s="14"/>
      <c r="E50" s="14"/>
      <c r="F50" s="16"/>
      <c r="G50" s="17"/>
      <c r="H50" s="18"/>
      <c r="I50" s="18"/>
      <c r="J50" s="18"/>
      <c r="K50" s="18"/>
      <c r="L50" s="8" t="s">
        <v>98</v>
      </c>
      <c r="M50" s="8"/>
      <c r="N50" s="14"/>
      <c r="O50" s="10">
        <v>46143</v>
      </c>
      <c r="P50" s="10">
        <v>46173</v>
      </c>
      <c r="Q50" s="10">
        <v>46143</v>
      </c>
      <c r="R50" s="10">
        <v>46173</v>
      </c>
      <c r="S50" s="8">
        <v>0</v>
      </c>
      <c r="T50" s="9"/>
      <c r="U50" s="8"/>
      <c r="V50" s="8"/>
      <c r="W50" s="8"/>
      <c r="X50" s="8"/>
      <c r="Y50" s="8"/>
      <c r="Z50" s="9"/>
      <c r="AA50" s="11" t="s">
        <v>59</v>
      </c>
    </row>
    <row r="51" spans="1:193">
      <c r="A51" s="14"/>
      <c r="B51" s="15"/>
      <c r="C51" s="14"/>
      <c r="D51" s="14"/>
      <c r="E51" s="14"/>
      <c r="F51" s="16"/>
      <c r="G51" s="17"/>
      <c r="H51" s="18"/>
      <c r="I51" s="18"/>
      <c r="J51" s="18"/>
      <c r="K51" s="18"/>
      <c r="L51" s="8" t="s">
        <v>99</v>
      </c>
      <c r="M51" s="8"/>
      <c r="N51" s="14"/>
      <c r="O51" s="10">
        <v>46174</v>
      </c>
      <c r="P51" s="10">
        <v>46203</v>
      </c>
      <c r="Q51" s="10">
        <v>46174</v>
      </c>
      <c r="R51" s="10">
        <v>46203</v>
      </c>
      <c r="S51" s="8">
        <v>0</v>
      </c>
      <c r="T51" s="9"/>
      <c r="U51" s="8"/>
      <c r="V51" s="8"/>
      <c r="W51" s="8"/>
      <c r="X51" s="8"/>
      <c r="Y51" s="8"/>
      <c r="Z51" s="9"/>
      <c r="AA51" s="11" t="s">
        <v>59</v>
      </c>
    </row>
    <row r="52" spans="1:193">
      <c r="A52" s="14"/>
      <c r="B52" s="15"/>
      <c r="C52" s="14"/>
      <c r="D52" s="14"/>
      <c r="E52" s="14"/>
      <c r="F52" s="16"/>
      <c r="G52" s="17"/>
      <c r="H52" s="18"/>
      <c r="I52" s="18"/>
      <c r="J52" s="18"/>
      <c r="K52" s="18"/>
      <c r="L52" s="8" t="s">
        <v>100</v>
      </c>
      <c r="M52" s="8"/>
      <c r="N52" s="14"/>
      <c r="O52" s="10">
        <v>46204</v>
      </c>
      <c r="P52" s="10">
        <v>46234</v>
      </c>
      <c r="Q52" s="10">
        <v>46204</v>
      </c>
      <c r="R52" s="10">
        <v>46234</v>
      </c>
      <c r="S52" s="8">
        <v>0</v>
      </c>
      <c r="T52" s="9"/>
      <c r="U52" s="8"/>
      <c r="V52" s="8"/>
      <c r="W52" s="8"/>
      <c r="X52" s="8"/>
      <c r="Y52" s="8"/>
      <c r="Z52" s="9"/>
      <c r="AA52" s="11" t="s">
        <v>59</v>
      </c>
    </row>
    <row r="53" spans="1:193" ht="40.5">
      <c r="A53" s="14">
        <v>5</v>
      </c>
      <c r="B53" s="15" t="s">
        <v>130</v>
      </c>
      <c r="C53" s="18" t="s">
        <v>131</v>
      </c>
      <c r="D53" s="14" t="s">
        <v>33</v>
      </c>
      <c r="E53" s="14" t="s">
        <v>15</v>
      </c>
      <c r="F53" s="16" t="s">
        <v>62</v>
      </c>
      <c r="G53" s="17"/>
      <c r="H53" s="18" t="s">
        <v>132</v>
      </c>
      <c r="I53" s="18" t="s">
        <v>109</v>
      </c>
      <c r="J53" s="18" t="s">
        <v>89</v>
      </c>
      <c r="K53" s="18" t="s">
        <v>39</v>
      </c>
      <c r="L53" s="8" t="s">
        <v>40</v>
      </c>
      <c r="M53" s="14"/>
      <c r="N53" s="28" t="s">
        <v>133</v>
      </c>
      <c r="O53" s="10" t="s">
        <v>39</v>
      </c>
      <c r="P53" s="10" t="s">
        <v>39</v>
      </c>
      <c r="Q53" s="10" t="s">
        <v>39</v>
      </c>
      <c r="R53" s="10" t="s">
        <v>39</v>
      </c>
      <c r="S53" s="32">
        <v>100</v>
      </c>
      <c r="T53" s="28" t="s">
        <v>133</v>
      </c>
      <c r="U53" s="8" t="s">
        <v>43</v>
      </c>
      <c r="V53" s="10"/>
      <c r="W53" s="10"/>
      <c r="X53" s="10"/>
      <c r="Y53" s="10"/>
      <c r="Z53" s="10"/>
      <c r="AA53" s="11" t="s">
        <v>59</v>
      </c>
    </row>
    <row r="54" spans="1:193" ht="40.5">
      <c r="A54" s="14"/>
      <c r="B54" s="15"/>
      <c r="C54" s="18"/>
      <c r="D54" s="14"/>
      <c r="E54" s="14"/>
      <c r="F54" s="16"/>
      <c r="G54" s="17"/>
      <c r="H54" s="18"/>
      <c r="I54" s="18"/>
      <c r="J54" s="18"/>
      <c r="K54" s="18"/>
      <c r="L54" s="8" t="s">
        <v>49</v>
      </c>
      <c r="M54" s="14"/>
      <c r="N54" s="28" t="s">
        <v>134</v>
      </c>
      <c r="O54" s="10" t="s">
        <v>39</v>
      </c>
      <c r="P54" s="10" t="s">
        <v>39</v>
      </c>
      <c r="Q54" s="10" t="s">
        <v>39</v>
      </c>
      <c r="R54" s="10" t="s">
        <v>39</v>
      </c>
      <c r="S54" s="32">
        <v>0</v>
      </c>
      <c r="T54" s="28" t="s">
        <v>134</v>
      </c>
      <c r="U54" s="8"/>
      <c r="V54" s="8"/>
      <c r="W54" s="8"/>
      <c r="X54" s="8"/>
      <c r="Y54" s="8"/>
      <c r="Z54" s="9"/>
      <c r="AA54" s="11" t="s">
        <v>59</v>
      </c>
    </row>
    <row r="55" spans="1:193" ht="46.5" customHeight="1">
      <c r="A55" s="14"/>
      <c r="B55" s="15"/>
      <c r="C55" s="18"/>
      <c r="D55" s="14"/>
      <c r="E55" s="14"/>
      <c r="F55" s="16"/>
      <c r="G55" s="17"/>
      <c r="H55" s="18"/>
      <c r="I55" s="18"/>
      <c r="J55" s="18"/>
      <c r="K55" s="18"/>
      <c r="L55" s="8" t="s">
        <v>53</v>
      </c>
      <c r="M55" s="14"/>
      <c r="N55" s="28" t="s">
        <v>135</v>
      </c>
      <c r="O55" s="10" t="s">
        <v>39</v>
      </c>
      <c r="P55" s="10" t="s">
        <v>39</v>
      </c>
      <c r="Q55" s="10" t="s">
        <v>39</v>
      </c>
      <c r="R55" s="10" t="s">
        <v>39</v>
      </c>
      <c r="S55" s="32">
        <v>0</v>
      </c>
      <c r="T55" s="28" t="s">
        <v>135</v>
      </c>
      <c r="U55" s="8"/>
      <c r="V55" s="8"/>
      <c r="W55" s="8"/>
      <c r="X55" s="8"/>
      <c r="Y55" s="8"/>
      <c r="Z55" s="9"/>
      <c r="AA55" s="11" t="s">
        <v>59</v>
      </c>
    </row>
    <row r="56" spans="1:193" ht="40.5">
      <c r="A56" s="14"/>
      <c r="B56" s="15"/>
      <c r="C56" s="18"/>
      <c r="D56" s="14"/>
      <c r="E56" s="14"/>
      <c r="F56" s="16"/>
      <c r="G56" s="17"/>
      <c r="H56" s="18"/>
      <c r="I56" s="18"/>
      <c r="J56" s="18"/>
      <c r="K56" s="18"/>
      <c r="L56" s="8" t="s">
        <v>79</v>
      </c>
      <c r="M56" s="14"/>
      <c r="N56" s="28" t="s">
        <v>136</v>
      </c>
      <c r="O56" s="10" t="s">
        <v>39</v>
      </c>
      <c r="P56" s="10" t="s">
        <v>39</v>
      </c>
      <c r="Q56" s="10" t="s">
        <v>39</v>
      </c>
      <c r="R56" s="10" t="s">
        <v>39</v>
      </c>
      <c r="S56" s="32">
        <v>0</v>
      </c>
      <c r="T56" s="28" t="s">
        <v>136</v>
      </c>
      <c r="U56" s="8"/>
      <c r="V56" s="8"/>
      <c r="W56" s="8"/>
      <c r="X56" s="8"/>
      <c r="Y56" s="8"/>
      <c r="Z56" s="9"/>
      <c r="AA56" s="11" t="s">
        <v>59</v>
      </c>
    </row>
    <row r="57" spans="1:193" s="29" customFormat="1" ht="53.25">
      <c r="A57" s="14"/>
      <c r="B57" s="15"/>
      <c r="C57" s="18" t="s">
        <v>137</v>
      </c>
      <c r="D57" s="18" t="s">
        <v>33</v>
      </c>
      <c r="E57" s="18" t="s">
        <v>15</v>
      </c>
      <c r="F57" s="44" t="s">
        <v>62</v>
      </c>
      <c r="G57" s="45"/>
      <c r="H57" s="18" t="s">
        <v>132</v>
      </c>
      <c r="I57" s="18" t="s">
        <v>109</v>
      </c>
      <c r="J57" s="18" t="s">
        <v>89</v>
      </c>
      <c r="K57" s="18" t="s">
        <v>39</v>
      </c>
      <c r="L57" s="9" t="s">
        <v>40</v>
      </c>
      <c r="M57" s="18"/>
      <c r="N57" s="28" t="s">
        <v>138</v>
      </c>
      <c r="O57" s="10" t="s">
        <v>39</v>
      </c>
      <c r="P57" s="10" t="s">
        <v>39</v>
      </c>
      <c r="Q57" s="10" t="s">
        <v>39</v>
      </c>
      <c r="R57" s="10" t="s">
        <v>39</v>
      </c>
      <c r="S57" s="32">
        <v>0</v>
      </c>
      <c r="T57" s="28" t="s">
        <v>138</v>
      </c>
      <c r="U57" s="8"/>
      <c r="V57" s="30"/>
      <c r="W57" s="30"/>
      <c r="X57" s="30"/>
      <c r="Y57" s="30"/>
      <c r="Z57" s="30"/>
      <c r="AA57" s="31" t="s">
        <v>59</v>
      </c>
    </row>
    <row r="58" spans="1:193" s="29" customFormat="1" ht="67.5">
      <c r="A58" s="14"/>
      <c r="B58" s="15"/>
      <c r="C58" s="18"/>
      <c r="D58" s="18"/>
      <c r="E58" s="18"/>
      <c r="F58" s="44"/>
      <c r="G58" s="45"/>
      <c r="H58" s="18"/>
      <c r="I58" s="18"/>
      <c r="J58" s="18"/>
      <c r="K58" s="18"/>
      <c r="L58" s="9" t="s">
        <v>49</v>
      </c>
      <c r="M58" s="18"/>
      <c r="N58" s="28" t="s">
        <v>139</v>
      </c>
      <c r="O58" s="10" t="s">
        <v>39</v>
      </c>
      <c r="P58" s="10" t="s">
        <v>39</v>
      </c>
      <c r="Q58" s="10" t="s">
        <v>39</v>
      </c>
      <c r="R58" s="10" t="s">
        <v>39</v>
      </c>
      <c r="S58" s="32">
        <v>0</v>
      </c>
      <c r="T58" s="28" t="s">
        <v>139</v>
      </c>
      <c r="U58" s="8"/>
      <c r="V58" s="9"/>
      <c r="W58" s="9"/>
      <c r="X58" s="9"/>
      <c r="Y58" s="9"/>
      <c r="Z58" s="9"/>
      <c r="AA58" s="31" t="s">
        <v>59</v>
      </c>
    </row>
    <row r="59" spans="1:193" s="29" customFormat="1" ht="81">
      <c r="A59" s="14"/>
      <c r="B59" s="15"/>
      <c r="C59" s="18"/>
      <c r="D59" s="18"/>
      <c r="E59" s="18"/>
      <c r="F59" s="44"/>
      <c r="G59" s="45"/>
      <c r="H59" s="18"/>
      <c r="I59" s="18"/>
      <c r="J59" s="18"/>
      <c r="K59" s="18"/>
      <c r="L59" s="9" t="s">
        <v>53</v>
      </c>
      <c r="M59" s="18"/>
      <c r="N59" s="28" t="s">
        <v>140</v>
      </c>
      <c r="O59" s="10" t="s">
        <v>39</v>
      </c>
      <c r="P59" s="10" t="s">
        <v>39</v>
      </c>
      <c r="Q59" s="10" t="s">
        <v>39</v>
      </c>
      <c r="R59" s="10" t="s">
        <v>39</v>
      </c>
      <c r="S59" s="32">
        <v>0</v>
      </c>
      <c r="T59" s="28" t="s">
        <v>140</v>
      </c>
      <c r="U59" s="8"/>
      <c r="V59" s="9"/>
      <c r="W59" s="9"/>
      <c r="X59" s="9"/>
      <c r="Y59" s="9"/>
      <c r="Z59" s="9"/>
      <c r="AA59" s="31" t="s">
        <v>59</v>
      </c>
    </row>
    <row r="60" spans="1:193" s="29" customFormat="1" ht="53.25">
      <c r="A60" s="14"/>
      <c r="B60" s="15"/>
      <c r="C60" s="18"/>
      <c r="D60" s="18"/>
      <c r="E60" s="18"/>
      <c r="F60" s="44"/>
      <c r="G60" s="45"/>
      <c r="H60" s="18"/>
      <c r="I60" s="18"/>
      <c r="J60" s="18"/>
      <c r="K60" s="18"/>
      <c r="L60" s="9" t="s">
        <v>79</v>
      </c>
      <c r="M60" s="18"/>
      <c r="N60" s="28" t="s">
        <v>141</v>
      </c>
      <c r="O60" s="10" t="s">
        <v>39</v>
      </c>
      <c r="P60" s="10" t="s">
        <v>39</v>
      </c>
      <c r="Q60" s="10" t="s">
        <v>39</v>
      </c>
      <c r="R60" s="10" t="s">
        <v>39</v>
      </c>
      <c r="S60" s="32">
        <v>0</v>
      </c>
      <c r="T60" s="28" t="s">
        <v>141</v>
      </c>
      <c r="U60" s="8"/>
      <c r="V60" s="9"/>
      <c r="W60" s="9"/>
      <c r="X60" s="9"/>
      <c r="Y60" s="9"/>
      <c r="Z60" s="9"/>
      <c r="AA60" s="31" t="s">
        <v>59</v>
      </c>
    </row>
    <row r="61" spans="1:193">
      <c r="A61" s="14"/>
      <c r="B61" s="15"/>
      <c r="C61" s="18" t="s">
        <v>142</v>
      </c>
      <c r="D61" s="18" t="s">
        <v>33</v>
      </c>
      <c r="E61" s="18" t="s">
        <v>15</v>
      </c>
      <c r="F61" s="44" t="s">
        <v>62</v>
      </c>
      <c r="G61" s="45"/>
      <c r="H61" s="18" t="s">
        <v>132</v>
      </c>
      <c r="I61" s="18" t="s">
        <v>109</v>
      </c>
      <c r="J61" s="18" t="s">
        <v>89</v>
      </c>
      <c r="K61" s="18" t="s">
        <v>39</v>
      </c>
      <c r="L61" s="9" t="s">
        <v>40</v>
      </c>
      <c r="M61" s="18"/>
      <c r="N61" s="18" t="s">
        <v>143</v>
      </c>
      <c r="O61" s="10" t="s">
        <v>39</v>
      </c>
      <c r="P61" s="10" t="s">
        <v>39</v>
      </c>
      <c r="Q61" s="10" t="s">
        <v>39</v>
      </c>
      <c r="R61" s="10" t="s">
        <v>39</v>
      </c>
      <c r="S61" s="32">
        <v>0</v>
      </c>
      <c r="T61" s="18" t="s">
        <v>143</v>
      </c>
      <c r="U61" s="8"/>
      <c r="V61" s="30"/>
      <c r="W61" s="30"/>
      <c r="X61" s="30"/>
      <c r="Y61" s="30"/>
      <c r="Z61" s="30"/>
      <c r="AA61" s="31" t="s">
        <v>59</v>
      </c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/>
      <c r="GE61" s="29"/>
      <c r="GF61" s="29"/>
      <c r="GG61" s="29"/>
      <c r="GH61" s="29"/>
      <c r="GI61" s="29"/>
      <c r="GJ61" s="29"/>
      <c r="GK61" s="29"/>
    </row>
    <row r="62" spans="1:193">
      <c r="A62" s="14"/>
      <c r="B62" s="15"/>
      <c r="C62" s="18"/>
      <c r="D62" s="18"/>
      <c r="E62" s="18"/>
      <c r="F62" s="44"/>
      <c r="G62" s="45"/>
      <c r="H62" s="18"/>
      <c r="I62" s="18"/>
      <c r="J62" s="18"/>
      <c r="K62" s="18"/>
      <c r="L62" s="9" t="s">
        <v>49</v>
      </c>
      <c r="M62" s="18"/>
      <c r="N62" s="18"/>
      <c r="O62" s="10" t="s">
        <v>39</v>
      </c>
      <c r="P62" s="10" t="s">
        <v>39</v>
      </c>
      <c r="Q62" s="10" t="s">
        <v>39</v>
      </c>
      <c r="R62" s="10" t="s">
        <v>39</v>
      </c>
      <c r="S62" s="32">
        <v>0</v>
      </c>
      <c r="T62" s="18"/>
      <c r="U62" s="8"/>
      <c r="V62" s="9"/>
      <c r="W62" s="9"/>
      <c r="X62" s="9"/>
      <c r="Y62" s="9"/>
      <c r="Z62" s="9"/>
      <c r="AA62" s="31" t="s">
        <v>59</v>
      </c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/>
      <c r="GE62" s="29"/>
      <c r="GF62" s="29"/>
      <c r="GG62" s="29"/>
      <c r="GH62" s="29"/>
      <c r="GI62" s="29"/>
      <c r="GJ62" s="29"/>
      <c r="GK62" s="29"/>
    </row>
    <row r="63" spans="1:193">
      <c r="A63" s="14"/>
      <c r="B63" s="15"/>
      <c r="C63" s="18"/>
      <c r="D63" s="18"/>
      <c r="E63" s="18"/>
      <c r="F63" s="44"/>
      <c r="G63" s="45"/>
      <c r="H63" s="18"/>
      <c r="I63" s="18"/>
      <c r="J63" s="18"/>
      <c r="K63" s="18"/>
      <c r="L63" s="9" t="s">
        <v>53</v>
      </c>
      <c r="M63" s="18"/>
      <c r="N63" s="18"/>
      <c r="O63" s="10" t="s">
        <v>39</v>
      </c>
      <c r="P63" s="10" t="s">
        <v>39</v>
      </c>
      <c r="Q63" s="10" t="s">
        <v>39</v>
      </c>
      <c r="R63" s="10" t="s">
        <v>39</v>
      </c>
      <c r="S63" s="32">
        <v>0</v>
      </c>
      <c r="T63" s="18"/>
      <c r="U63" s="8"/>
      <c r="V63" s="9"/>
      <c r="W63" s="9"/>
      <c r="X63" s="9"/>
      <c r="Y63" s="9"/>
      <c r="Z63" s="9"/>
      <c r="AA63" s="31" t="s">
        <v>59</v>
      </c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</row>
    <row r="64" spans="1:193">
      <c r="A64" s="14"/>
      <c r="B64" s="15"/>
      <c r="C64" s="18"/>
      <c r="D64" s="18"/>
      <c r="E64" s="18"/>
      <c r="F64" s="44"/>
      <c r="G64" s="45"/>
      <c r="H64" s="18"/>
      <c r="I64" s="18"/>
      <c r="J64" s="18"/>
      <c r="K64" s="18"/>
      <c r="L64" s="9" t="s">
        <v>79</v>
      </c>
      <c r="M64" s="18"/>
      <c r="N64" s="18"/>
      <c r="O64" s="10" t="s">
        <v>39</v>
      </c>
      <c r="P64" s="10" t="s">
        <v>39</v>
      </c>
      <c r="Q64" s="10" t="s">
        <v>39</v>
      </c>
      <c r="R64" s="10" t="s">
        <v>39</v>
      </c>
      <c r="S64" s="32">
        <v>0</v>
      </c>
      <c r="T64" s="18"/>
      <c r="U64" s="8"/>
      <c r="V64" s="9"/>
      <c r="W64" s="9"/>
      <c r="X64" s="9"/>
      <c r="Y64" s="9"/>
      <c r="Z64" s="9"/>
      <c r="AA64" s="31" t="s">
        <v>59</v>
      </c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/>
      <c r="GE64" s="29"/>
      <c r="GF64" s="29"/>
      <c r="GG64" s="29"/>
      <c r="GH64" s="29"/>
      <c r="GI64" s="29"/>
      <c r="GJ64" s="29"/>
      <c r="GK64" s="29"/>
    </row>
    <row r="65" spans="1:14"/>
    <row r="66" spans="1:14"/>
    <row r="67" spans="1:14"/>
    <row r="68" spans="1:14"/>
    <row r="69" spans="1:14"/>
    <row r="70" spans="1:14"/>
    <row r="71" spans="1:14"/>
    <row r="72" spans="1:14"/>
    <row r="73" spans="1:14"/>
    <row r="74" spans="1:14"/>
    <row r="75" spans="1:14"/>
    <row r="76" spans="1:14"/>
    <row r="77" spans="1:14"/>
    <row r="78" spans="1:14"/>
    <row r="79" spans="1:14">
      <c r="A79" s="21" t="s">
        <v>144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4" ht="72">
      <c r="A80" s="1" t="s">
        <v>145</v>
      </c>
      <c r="B80" s="1" t="s">
        <v>146</v>
      </c>
      <c r="C80" s="1" t="s">
        <v>147</v>
      </c>
      <c r="D80" s="1"/>
      <c r="E80" s="1"/>
      <c r="F80" s="1" t="s">
        <v>148</v>
      </c>
      <c r="G80" s="1"/>
      <c r="H80" s="1" t="s">
        <v>149</v>
      </c>
      <c r="I80" s="1"/>
      <c r="J80" s="1"/>
      <c r="K80" s="1"/>
      <c r="L80" s="1" t="s">
        <v>150</v>
      </c>
      <c r="M80" s="1"/>
      <c r="N80" s="1" t="s">
        <v>151</v>
      </c>
    </row>
    <row r="81" spans="1:14">
      <c r="A81" s="2">
        <f>IFERROR(SUMPRODUCT(1/COUNTIF(C4:C68,C4:C68)),0)</f>
        <v>0</v>
      </c>
      <c r="B81" s="2">
        <f>COUNTA(L4:L68)</f>
        <v>61</v>
      </c>
      <c r="C81" s="2">
        <f>COUNTIF(S4:S68,100)</f>
        <v>16</v>
      </c>
      <c r="D81" s="2"/>
      <c r="E81" s="2"/>
      <c r="F81" s="2">
        <f>COUNTIF(U4:U68,"Red")</f>
        <v>1</v>
      </c>
      <c r="G81" s="2"/>
      <c r="H81" s="2">
        <f>COUNTIF(U4:U68,"Amber")</f>
        <v>3</v>
      </c>
      <c r="I81" s="2"/>
      <c r="J81" s="2"/>
      <c r="K81" s="2"/>
      <c r="L81" s="2">
        <f>IFERROR(AVERAGE(S4:S68),0)</f>
        <v>28.032786885245901</v>
      </c>
      <c r="M81" s="2"/>
      <c r="N81" s="2" t="e">
        <f>SUM(#REF!)</f>
        <v>#REF!</v>
      </c>
    </row>
  </sheetData>
  <mergeCells count="103">
    <mergeCell ref="K61:K64"/>
    <mergeCell ref="M61:M64"/>
    <mergeCell ref="A53:A64"/>
    <mergeCell ref="B53:B64"/>
    <mergeCell ref="N61:N64"/>
    <mergeCell ref="F61:F64"/>
    <mergeCell ref="G61:G64"/>
    <mergeCell ref="H61:H64"/>
    <mergeCell ref="I61:I64"/>
    <mergeCell ref="J61:J64"/>
    <mergeCell ref="T61:T64"/>
    <mergeCell ref="C57:C60"/>
    <mergeCell ref="D57:D60"/>
    <mergeCell ref="E57:E60"/>
    <mergeCell ref="F57:F60"/>
    <mergeCell ref="G57:G60"/>
    <mergeCell ref="H57:H60"/>
    <mergeCell ref="I57:I60"/>
    <mergeCell ref="J57:J60"/>
    <mergeCell ref="K57:K60"/>
    <mergeCell ref="M57:M60"/>
    <mergeCell ref="M53:M56"/>
    <mergeCell ref="G35:G40"/>
    <mergeCell ref="H35:H40"/>
    <mergeCell ref="I35:I40"/>
    <mergeCell ref="J35:J40"/>
    <mergeCell ref="K35:K40"/>
    <mergeCell ref="M35:M40"/>
    <mergeCell ref="H23:H34"/>
    <mergeCell ref="H41:H52"/>
    <mergeCell ref="N41:N52"/>
    <mergeCell ref="A4:A6"/>
    <mergeCell ref="G4:G6"/>
    <mergeCell ref="H4:H6"/>
    <mergeCell ref="A7:A40"/>
    <mergeCell ref="B7:B40"/>
    <mergeCell ref="C35:C40"/>
    <mergeCell ref="D35:D40"/>
    <mergeCell ref="E35:E40"/>
    <mergeCell ref="F35:F40"/>
    <mergeCell ref="E7:E10"/>
    <mergeCell ref="D7:D10"/>
    <mergeCell ref="G7:G10"/>
    <mergeCell ref="F7:F10"/>
    <mergeCell ref="A1:AA1"/>
    <mergeCell ref="U2:AA2"/>
    <mergeCell ref="L2:T2"/>
    <mergeCell ref="B4:B6"/>
    <mergeCell ref="C4:C6"/>
    <mergeCell ref="D4:D6"/>
    <mergeCell ref="E4:E6"/>
    <mergeCell ref="F4:F6"/>
    <mergeCell ref="H11:H22"/>
    <mergeCell ref="H7:H10"/>
    <mergeCell ref="E11:E22"/>
    <mergeCell ref="F11:F22"/>
    <mergeCell ref="A79:N79"/>
    <mergeCell ref="N23:N34"/>
    <mergeCell ref="K23:K34"/>
    <mergeCell ref="K41:K52"/>
    <mergeCell ref="N11:N22"/>
    <mergeCell ref="K7:K10"/>
    <mergeCell ref="I11:I22"/>
    <mergeCell ref="I23:I34"/>
    <mergeCell ref="J11:J22"/>
    <mergeCell ref="J23:J34"/>
    <mergeCell ref="K11:K22"/>
    <mergeCell ref="C7:C10"/>
    <mergeCell ref="A2:H2"/>
    <mergeCell ref="C23:C34"/>
    <mergeCell ref="D23:D34"/>
    <mergeCell ref="E23:E34"/>
    <mergeCell ref="F23:F34"/>
    <mergeCell ref="G23:G34"/>
    <mergeCell ref="I4:I6"/>
    <mergeCell ref="J4:J6"/>
    <mergeCell ref="K4:K6"/>
    <mergeCell ref="I7:I10"/>
    <mergeCell ref="C11:C22"/>
    <mergeCell ref="D11:D22"/>
    <mergeCell ref="G11:G22"/>
    <mergeCell ref="J7:J10"/>
    <mergeCell ref="J41:J52"/>
    <mergeCell ref="I41:I52"/>
    <mergeCell ref="A41:A52"/>
    <mergeCell ref="B41:B52"/>
    <mergeCell ref="C41:C52"/>
    <mergeCell ref="D41:D52"/>
    <mergeCell ref="E41:E52"/>
    <mergeCell ref="F41:F52"/>
    <mergeCell ref="G41:G52"/>
    <mergeCell ref="C53:C56"/>
    <mergeCell ref="D53:D56"/>
    <mergeCell ref="E53:E56"/>
    <mergeCell ref="C61:C64"/>
    <mergeCell ref="D61:D64"/>
    <mergeCell ref="E61:E64"/>
    <mergeCell ref="F53:F56"/>
    <mergeCell ref="G53:G56"/>
    <mergeCell ref="H53:H56"/>
    <mergeCell ref="I53:I56"/>
    <mergeCell ref="J53:J56"/>
    <mergeCell ref="K53:K56"/>
  </mergeCells>
  <conditionalFormatting sqref="U4:U127">
    <cfRule type="cellIs" dxfId="5" priority="5" operator="equal">
      <formula>"Green"</formula>
    </cfRule>
    <cfRule type="cellIs" dxfId="4" priority="6" operator="equal">
      <formula>"Yellow"</formula>
    </cfRule>
    <cfRule type="cellIs" dxfId="3" priority="7" operator="equal">
      <formula>"Amber"</formula>
    </cfRule>
    <cfRule type="cellIs" dxfId="2" priority="8" operator="equal">
      <formula>"Red"</formula>
    </cfRule>
  </conditionalFormatting>
  <conditionalFormatting sqref="AA4:AA64">
    <cfRule type="cellIs" dxfId="1" priority="3" operator="equal">
      <formula>"Raised"</formula>
    </cfRule>
  </conditionalFormatting>
  <conditionalFormatting sqref="AA4:AA64">
    <cfRule type="containsText" dxfId="0" priority="1" operator="containsText" text="Pending">
      <formula>NOT(ISERROR(SEARCH("Pending",AA4)))</formula>
    </cfRule>
  </conditionalFormatting>
  <dataValidations count="13">
    <dataValidation type="list" allowBlank="1" showInputMessage="1" showErrorMessage="1" sqref="E4 E7 E11 E23 E41" xr:uid="{0589D24B-07B4-41B8-876F-4C26E8836F59}">
      <formula1>"Monthly, Milestone"</formula1>
    </dataValidation>
    <dataValidation type="list" allowBlank="1" showInputMessage="1" showErrorMessage="1" sqref="D4:D11 D23 D41" xr:uid="{E851727F-C163-4496-BB31-CEA43EE449CA}">
      <formula1>"Governance, Outcome"</formula1>
    </dataValidation>
    <dataValidation type="list" allowBlank="1" sqref="K53 K4 K41 K57 H57 H4:H35 H41:H53 K61 H61" xr:uid="{F764EE9B-AA9F-4416-A915-7AA08C39C80D}">
      <formula1>"Automation, AI Solution, Data Migration &amp; Infra Support, Cybersecurity, Data Engineering &amp; Automation, Data Analysis &amp; Dashboarding, Quality Engineering, Call Centre Optimzation, SAP Services, Salesforce Services, Service Now, Others"</formula1>
    </dataValidation>
    <dataValidation allowBlank="1" sqref="I4:I7 K11 I11 I23 K7 I41 K23" xr:uid="{85686413-E135-49ED-93F8-658AAF5EA2F2}"/>
    <dataValidation type="list" allowBlank="1" sqref="J4:J6" xr:uid="{F4685116-E9FD-4BFD-A7AF-6937AD61E7DB}">
      <formula1>"Internal Team, Consultant"</formula1>
    </dataValidation>
    <dataValidation type="list" allowBlank="1" showInputMessage="1" showErrorMessage="1" sqref="J7:J11 J23:J35 J41" xr:uid="{8209ABE7-066A-469E-ABE1-B54A120E03C0}">
      <formula1>"Internal Team, Consultant"</formula1>
    </dataValidation>
    <dataValidation type="list" allowBlank="1" sqref="W54:W56 W58:W60 W62:W127" xr:uid="{00000000-0002-0000-0300-000003000000}">
      <formula1>"↑ On Track,→ At Risk,↓ Delayed,⏸ On Hold"</formula1>
      <formula2>0</formula2>
    </dataValidation>
    <dataValidation type="list" allowBlank="1" sqref="H65:K127" xr:uid="{00000000-0002-0000-0300-000002000000}">
      <formula1>"Platform Build,Data Engineering,Cloud Migration,AI/ML,Product Dev,Integration,Other"</formula1>
      <formula2>0</formula2>
    </dataValidation>
    <dataValidation type="list" allowBlank="1" sqref="X54:X56 X4:X52 X58:X60 X62:X127" xr:uid="{00000000-0002-0000-0300-000001000000}">
      <formula1>"Y,N"</formula1>
      <formula2>0</formula2>
    </dataValidation>
    <dataValidation type="list" allowBlank="1" sqref="W4:W52" xr:uid="{56A34275-4FAC-4AAE-8D15-BC82211937C4}">
      <formula1>"Completed, On Track, At Risk, Delayed, On Hold"</formula1>
    </dataValidation>
    <dataValidation type="list" allowBlank="1" showInputMessage="1" showErrorMessage="1" sqref="AA4:AA64" xr:uid="{EFA9E0A9-0232-438E-84A4-046F5FF2962F}">
      <formula1>"Raised, Delayed, Pending "</formula1>
    </dataValidation>
    <dataValidation type="list" allowBlank="1" showInputMessage="1" showErrorMessage="1" sqref="Y4:Y52" xr:uid="{EB843F8F-4C1C-432B-A236-A4E0EFBE5566}">
      <formula1>"Client, Sales, Practise"</formula1>
    </dataValidation>
    <dataValidation type="list" allowBlank="1" sqref="U4:U127" xr:uid="{00000000-0002-0000-0300-000000000000}">
      <formula1>"Green,Yellow,Amber,Red"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2026-03-09T05:42:10Z</dcterms:created>
  <dcterms:modified xsi:type="dcterms:W3CDTF">2026-04-02T09:41:32Z</dcterms:modified>
  <cp:category/>
  <cp:contentStatus/>
</cp:coreProperties>
</file>